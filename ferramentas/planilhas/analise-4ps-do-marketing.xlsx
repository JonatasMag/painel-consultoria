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Análise 4P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C2238"/>
      <sz val="14"/>
    </font>
    <font>
      <name val="Arial"/>
      <sz val="10"/>
    </font>
    <font>
      <name val="Arial"/>
      <b val="1"/>
      <sz val="10"/>
    </font>
    <font>
      <name val="Arial"/>
      <color rgb="0056687A"/>
      <sz val="10"/>
    </font>
    <font>
      <name val="Arial"/>
      <b val="1"/>
      <color rgb="000C2238"/>
      <sz val="12"/>
    </font>
    <font>
      <name val="Arial"/>
      <sz val="11"/>
    </font>
    <font>
      <name val="Arial"/>
      <b val="1"/>
      <color rgb="00E8A33D"/>
      <sz val="11"/>
    </font>
    <font>
      <name val="Arial"/>
      <color rgb="0056687A"/>
      <sz val="9"/>
    </font>
  </fonts>
  <fills count="6">
    <fill>
      <patternFill/>
    </fill>
    <fill>
      <patternFill patternType="gray125"/>
    </fill>
    <fill>
      <patternFill patternType="solid">
        <fgColor rgb="000C2238"/>
      </patternFill>
    </fill>
    <fill>
      <patternFill patternType="solid">
        <fgColor rgb="00163452"/>
      </patternFill>
    </fill>
    <fill>
      <patternFill patternType="solid">
        <fgColor rgb="00FFF8E8"/>
      </patternFill>
    </fill>
    <fill>
      <patternFill patternType="solid">
        <fgColor rgb="00E9EEF3"/>
      </patternFill>
    </fill>
  </fills>
  <borders count="4">
    <border>
      <left/>
      <right/>
      <top/>
      <bottom/>
      <diagonal/>
    </border>
    <border>
      <bottom style="medium">
        <color rgb="00E8A33D"/>
      </bottom>
    </border>
    <border>
      <left/>
      <right/>
      <top/>
      <bottom style="medium">
        <color rgb="00E8A33D"/>
      </bottom>
      <diagonal/>
    </border>
    <border>
      <left style="thin">
        <color rgb="00D6DEE6"/>
      </left>
      <right style="thin">
        <color rgb="00D6DEE6"/>
      </right>
      <top style="thin">
        <color rgb="00D6DEE6"/>
      </top>
      <bottom style="thin">
        <color rgb="00D6DE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1" applyAlignment="1" pivotButton="0" quotePrefix="0" xfId="0">
      <alignment vertical="center" indent="1"/>
    </xf>
    <xf numFmtId="0" fontId="0" fillId="0" borderId="2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right" vertical="top"/>
    </xf>
    <xf numFmtId="0" fontId="0" fillId="4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" fillId="3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top"/>
    </xf>
    <xf numFmtId="0" fontId="3" fillId="4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/>
    </xf>
    <xf numFmtId="164" fontId="3" fillId="4" borderId="3" applyAlignment="1" pivotButton="0" quotePrefix="0" xfId="0">
      <alignment vertical="top"/>
    </xf>
    <xf numFmtId="165" fontId="3" fillId="0" borderId="3" applyAlignment="1" pivotButton="0" quotePrefix="0" xfId="0">
      <alignment vertical="top"/>
    </xf>
    <xf numFmtId="0" fontId="4" fillId="5" borderId="3" pivotButton="0" quotePrefix="0" xfId="0"/>
    <xf numFmtId="0" fontId="0" fillId="5" borderId="3" pivotButton="0" quotePrefix="0" xfId="0"/>
    <xf numFmtId="165" fontId="0" fillId="5" borderId="3" pivotButton="0" quotePrefix="0" xfId="0"/>
  </cellXfs>
  <cellStyles count="1">
    <cellStyle name="Normal" xfId="0" builtinId="0" hidden="0"/>
  </cellStyles>
  <dxfs count="3">
    <dxf>
      <fill>
        <patternFill patternType="solid">
          <fgColor rgb="00FBE5E2"/>
        </patternFill>
      </fill>
    </dxf>
    <dxf>
      <fill>
        <patternFill patternType="solid">
          <fgColor rgb="00FBF0DC"/>
        </patternFill>
      </fill>
    </dxf>
    <dxf>
      <fill>
        <patternFill patternType="solid">
          <fgColor rgb="00E3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Índice por 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'Resumo'!$A$5:$A$8</f>
            </numRef>
          </cat>
          <val>
            <numRef>
              <f>'Resumo'!$D$5:$D$8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</row>
    <row r="2" ht="30" customHeight="1">
      <c r="A2" s="3" t="inlineStr">
        <is>
          <t>Análise dos 4 Ps do marketing</t>
        </is>
      </c>
      <c r="B2" s="4" t="n"/>
      <c r="C2" s="4" t="n"/>
    </row>
    <row r="4">
      <c r="B4" s="5" t="inlineStr">
        <is>
          <t>Para que serve</t>
        </is>
      </c>
    </row>
    <row r="5" ht="30" customHeight="1">
      <c r="C5" s="6" t="inlineStr">
        <is>
          <t>Avaliar como a empresa está em Produto, Preço, Praça (onde e como vende) e Promoção (como se comunica), descobrir qual P está mais fraco e transformar isso em ações.</t>
        </is>
      </c>
    </row>
    <row r="7">
      <c r="B7" s="5" t="inlineStr">
        <is>
          <t>Passo a passo</t>
        </is>
      </c>
    </row>
    <row r="8" ht="15" customHeight="1">
      <c r="B8" s="7" t="n">
        <v>1</v>
      </c>
      <c r="C8" s="6" t="inlineStr">
        <is>
          <t>Leia as perguntas de cada P na aba Análise 4Ps. Pode incluir perguntas suas nas linhas livres.</t>
        </is>
      </c>
    </row>
    <row r="9" ht="30" customHeight="1">
      <c r="B9" s="7" t="n">
        <v>2</v>
      </c>
      <c r="C9" s="6" t="inlineStr">
        <is>
          <t>Na coluna Como está hoje, descreva a situação real, com fatos (números, reclamações, exemplos).</t>
        </is>
      </c>
    </row>
    <row r="10" ht="15" customHeight="1">
      <c r="B10" s="7" t="n">
        <v>3</v>
      </c>
      <c r="C10" s="6" t="inlineStr">
        <is>
          <t>Dê uma nota de 1 (muito ruim) a 5 (excelente) para cada pergunta.</t>
        </is>
      </c>
    </row>
    <row r="11" ht="15" customHeight="1">
      <c r="B11" s="7" t="n">
        <v>4</v>
      </c>
      <c r="C11" s="6" t="inlineStr">
        <is>
          <t>Dê a importância de 1 a 3: quanto aquela pergunta pesa para o seu tipo de negócio.</t>
        </is>
      </c>
    </row>
    <row r="12" ht="15" customHeight="1">
      <c r="B12" s="7" t="n">
        <v>5</v>
      </c>
      <c r="C12" s="6" t="inlineStr">
        <is>
          <t>Para as notas 1 e 2, escreva uma ação de melhoria com responsável e prazo.</t>
        </is>
      </c>
    </row>
    <row r="13" ht="15" customHeight="1">
      <c r="B13" s="7" t="n">
        <v>6</v>
      </c>
      <c r="C13" s="6" t="inlineStr">
        <is>
          <t>Veja na aba Resumo o índice de cada P. O P com menor índice é a prioridade.</t>
        </is>
      </c>
    </row>
    <row r="14" ht="15" customHeight="1">
      <c r="B14" s="7" t="n">
        <v>7</v>
      </c>
      <c r="C14" s="6" t="inlineStr">
        <is>
          <t>Leve as ações para o plano 5W2H e refaça a análise a cada 6 meses.</t>
        </is>
      </c>
    </row>
    <row r="16">
      <c r="B16" s="5" t="inlineStr">
        <is>
          <t>Bom saber</t>
        </is>
      </c>
    </row>
    <row r="17" ht="30" customHeight="1">
      <c r="C17" s="6" t="inlineStr">
        <is>
          <t>Faça a análise com pelo menos duas pessoas (por exemplo, dono e gerente) para evitar notas otimistas.</t>
        </is>
      </c>
    </row>
    <row r="18" ht="15" customHeight="1">
      <c r="C18" s="6" t="inlineStr">
        <is>
          <t>Se possível, pergunte a 5 ou 10 clientes antes de dar as notas de Produto e Promoção.</t>
        </is>
      </c>
    </row>
    <row r="20">
      <c r="B20" s="8" t="n"/>
      <c r="C20" s="9" t="inlineStr">
        <is>
          <t>Células nesta cor: você digita. As demais são calculadas e não precisam ser alteradas.</t>
        </is>
      </c>
    </row>
    <row r="21">
      <c r="C21" s="9" t="inlineStr">
        <is>
          <t>Procedimento de implantação: POP-F03 (baixe junto no painel).  Os dados de exemplo são fictícios.</t>
        </is>
      </c>
    </row>
    <row r="23">
      <c r="C23" s="10" t="inlineStr">
        <is>
          <t>jonatasmag.github.io  |  chazaq.adm@gmail.com  |  (47) 98849-9129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34" customWidth="1" min="3" max="3"/>
    <col width="10" customWidth="1" min="4" max="4"/>
    <col width="12" customWidth="1" min="5" max="5"/>
    <col width="9" customWidth="1" min="6" max="6"/>
    <col width="10" customWidth="1" min="7" max="7"/>
    <col width="36" customWidth="1" min="8" max="8"/>
    <col width="16" customWidth="1" min="9" max="9"/>
    <col width="12" customWidth="1" min="10" max="10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Análise dos 4 Ps do marketing  —  Empresa Exemplo (loja de bairro)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36" customHeight="1">
      <c r="A4" s="11" t="inlineStr">
        <is>
          <t>P</t>
        </is>
      </c>
      <c r="B4" s="11" t="inlineStr">
        <is>
          <t>Pergunta</t>
        </is>
      </c>
      <c r="C4" s="11" t="inlineStr">
        <is>
          <t>Como está hoje</t>
        </is>
      </c>
      <c r="D4" s="11" t="inlineStr">
        <is>
          <t>Nota (1 a 5)</t>
        </is>
      </c>
      <c r="E4" s="11" t="inlineStr">
        <is>
          <t>Importância (1 a 3)</t>
        </is>
      </c>
      <c r="F4" s="11" t="inlineStr">
        <is>
          <t>Pontos</t>
        </is>
      </c>
      <c r="G4" s="11" t="inlineStr">
        <is>
          <t>Pontos possíveis</t>
        </is>
      </c>
      <c r="H4" s="11" t="inlineStr">
        <is>
          <t>Ação de melhoria</t>
        </is>
      </c>
      <c r="I4" s="11" t="inlineStr">
        <is>
          <t>Responsável</t>
        </is>
      </c>
      <c r="J4" s="11" t="inlineStr">
        <is>
          <t>Prazo</t>
        </is>
      </c>
    </row>
    <row r="5">
      <c r="A5" s="12" t="inlineStr">
        <is>
          <t>Produto</t>
        </is>
      </c>
      <c r="B5" s="13" t="inlineStr">
        <is>
          <t>O mix atende ao que o cliente procura?</t>
        </is>
      </c>
      <c r="C5" s="13" t="inlineStr">
        <is>
          <t>Faltam marcas pedidas com frequência</t>
        </is>
      </c>
      <c r="D5" s="12" t="n">
        <v>3</v>
      </c>
      <c r="E5" s="12" t="n">
        <v>3</v>
      </c>
      <c r="F5" s="14">
        <f>IF(OR(D5="",E5=""),"",D5*E5)</f>
        <v/>
      </c>
      <c r="G5" s="14">
        <f>IF(OR(D5="",E5=""),"",5*E5)</f>
        <v/>
      </c>
      <c r="H5" s="13" t="inlineStr">
        <is>
          <t>Registrar pedidos não atendidos por 30 dias</t>
        </is>
      </c>
      <c r="I5" s="12" t="n"/>
      <c r="J5" s="15" t="n"/>
    </row>
    <row r="6">
      <c r="A6" s="12" t="inlineStr">
        <is>
          <t>Produto</t>
        </is>
      </c>
      <c r="B6" s="13" t="inlineStr">
        <is>
          <t>A qualidade é percebida como boa?</t>
        </is>
      </c>
      <c r="C6" s="13" t="inlineStr">
        <is>
          <t>Boa avaliação, poucas trocas</t>
        </is>
      </c>
      <c r="D6" s="12" t="n">
        <v>4</v>
      </c>
      <c r="E6" s="12" t="n">
        <v>2</v>
      </c>
      <c r="F6" s="14">
        <f>IF(OR(D6="",E6=""),"",D6*E6)</f>
        <v/>
      </c>
      <c r="G6" s="14">
        <f>IF(OR(D6="",E6=""),"",5*E6)</f>
        <v/>
      </c>
      <c r="H6" s="13" t="n"/>
      <c r="I6" s="12" t="n"/>
      <c r="J6" s="15" t="n"/>
    </row>
    <row r="7">
      <c r="A7" s="12" t="inlineStr">
        <is>
          <t>Produto</t>
        </is>
      </c>
      <c r="B7" s="13" t="inlineStr">
        <is>
          <t>Embalagem, apresentação e exposição ajudam a vender?</t>
        </is>
      </c>
      <c r="C7" s="13" t="inlineStr">
        <is>
          <t>Gôndolas desorganizadas no fim do dia</t>
        </is>
      </c>
      <c r="D7" s="12" t="n">
        <v>2</v>
      </c>
      <c r="E7" s="12" t="n">
        <v>2</v>
      </c>
      <c r="F7" s="14">
        <f>IF(OR(D7="",E7=""),"",D7*E7)</f>
        <v/>
      </c>
      <c r="G7" s="14">
        <f>IF(OR(D7="",E7=""),"",5*E7)</f>
        <v/>
      </c>
      <c r="H7" s="13" t="inlineStr">
        <is>
          <t>Reposição e organização às 17 h</t>
        </is>
      </c>
      <c r="I7" s="12" t="n"/>
      <c r="J7" s="15" t="n"/>
    </row>
    <row r="8">
      <c r="A8" s="12" t="inlineStr">
        <is>
          <t>Produto</t>
        </is>
      </c>
      <c r="B8" s="13" t="inlineStr">
        <is>
          <t>Existe um diferencial claro em relação aos concorrentes?</t>
        </is>
      </c>
      <c r="C8" s="13" t="inlineStr">
        <is>
          <t>Pão artesanal é o diferencial</t>
        </is>
      </c>
      <c r="D8" s="12" t="n">
        <v>4</v>
      </c>
      <c r="E8" s="12" t="n">
        <v>3</v>
      </c>
      <c r="F8" s="14">
        <f>IF(OR(D8="",E8=""),"",D8*E8)</f>
        <v/>
      </c>
      <c r="G8" s="14">
        <f>IF(OR(D8="",E8=""),"",5*E8)</f>
        <v/>
      </c>
      <c r="H8" s="13" t="n"/>
      <c r="I8" s="12" t="n"/>
      <c r="J8" s="15" t="n"/>
    </row>
    <row r="9">
      <c r="A9" s="12" t="inlineStr">
        <is>
          <t>Preço</t>
        </is>
      </c>
      <c r="B9" s="13" t="inlineStr">
        <is>
          <t>O preço cobre custos e deixa margem?</t>
        </is>
      </c>
      <c r="C9" s="13" t="inlineStr">
        <is>
          <t>Margem desconhecida em vários itens</t>
        </is>
      </c>
      <c r="D9" s="12" t="n">
        <v>2</v>
      </c>
      <c r="E9" s="12" t="n">
        <v>3</v>
      </c>
      <c r="F9" s="14">
        <f>IF(OR(D9="",E9=""),"",D9*E9)</f>
        <v/>
      </c>
      <c r="G9" s="14">
        <f>IF(OR(D9="",E9=""),"",5*E9)</f>
        <v/>
      </c>
      <c r="H9" s="13" t="inlineStr">
        <is>
          <t>Usar a planilha de precificação</t>
        </is>
      </c>
      <c r="I9" s="12" t="n"/>
      <c r="J9" s="15" t="n"/>
    </row>
    <row r="10">
      <c r="A10" s="12" t="inlineStr">
        <is>
          <t>Preço</t>
        </is>
      </c>
      <c r="B10" s="13" t="inlineStr">
        <is>
          <t>O preço é competitivo com a concorrência?</t>
        </is>
      </c>
      <c r="C10" s="13" t="inlineStr">
        <is>
          <t>Alinhado nos itens básicos</t>
        </is>
      </c>
      <c r="D10" s="12" t="n">
        <v>4</v>
      </c>
      <c r="E10" s="12" t="n">
        <v>2</v>
      </c>
      <c r="F10" s="14">
        <f>IF(OR(D10="",E10=""),"",D10*E10)</f>
        <v/>
      </c>
      <c r="G10" s="14">
        <f>IF(OR(D10="",E10=""),"",5*E10)</f>
        <v/>
      </c>
      <c r="H10" s="13" t="n"/>
      <c r="I10" s="12" t="n"/>
      <c r="J10" s="15" t="n"/>
    </row>
    <row r="11">
      <c r="A11" s="12" t="inlineStr">
        <is>
          <t>Preço</t>
        </is>
      </c>
      <c r="B11" s="13" t="inlineStr">
        <is>
          <t>As formas de pagamento atendem o cliente?</t>
        </is>
      </c>
      <c r="C11" s="13" t="inlineStr">
        <is>
          <t>Aceita Pix e cartões</t>
        </is>
      </c>
      <c r="D11" s="12" t="n">
        <v>5</v>
      </c>
      <c r="E11" s="12" t="n">
        <v>1</v>
      </c>
      <c r="F11" s="14">
        <f>IF(OR(D11="",E11=""),"",D11*E11)</f>
        <v/>
      </c>
      <c r="G11" s="14">
        <f>IF(OR(D11="",E11=""),"",5*E11)</f>
        <v/>
      </c>
      <c r="H11" s="13" t="n"/>
      <c r="I11" s="12" t="n"/>
      <c r="J11" s="15" t="n"/>
    </row>
    <row r="12">
      <c r="A12" s="12" t="inlineStr">
        <is>
          <t>Preço</t>
        </is>
      </c>
      <c r="B12" s="13" t="inlineStr">
        <is>
          <t>Existe política de descontos e promoções?</t>
        </is>
      </c>
      <c r="C12" s="13" t="inlineStr">
        <is>
          <t>Descontos dados sem critério</t>
        </is>
      </c>
      <c r="D12" s="12" t="n">
        <v>2</v>
      </c>
      <c r="E12" s="12" t="n">
        <v>2</v>
      </c>
      <c r="F12" s="14">
        <f>IF(OR(D12="",E12=""),"",D12*E12)</f>
        <v/>
      </c>
      <c r="G12" s="14">
        <f>IF(OR(D12="",E12=""),"",5*E12)</f>
        <v/>
      </c>
      <c r="H12" s="13" t="inlineStr">
        <is>
          <t>Definir regra de desconto por margem</t>
        </is>
      </c>
      <c r="I12" s="12" t="n"/>
      <c r="J12" s="15" t="n"/>
    </row>
    <row r="13">
      <c r="A13" s="12" t="inlineStr">
        <is>
          <t>Praça</t>
        </is>
      </c>
      <c r="B13" s="13" t="inlineStr">
        <is>
          <t>A localização e o acesso são bons?</t>
        </is>
      </c>
      <c r="C13" s="13" t="inlineStr">
        <is>
          <t>Rua movimentada, sem estacionamento</t>
        </is>
      </c>
      <c r="D13" s="12" t="n">
        <v>3</v>
      </c>
      <c r="E13" s="12" t="n">
        <v>2</v>
      </c>
      <c r="F13" s="14">
        <f>IF(OR(D13="",E13=""),"",D13*E13)</f>
        <v/>
      </c>
      <c r="G13" s="14">
        <f>IF(OR(D13="",E13=""),"",5*E13)</f>
        <v/>
      </c>
      <c r="H13" s="13" t="n"/>
      <c r="I13" s="12" t="n"/>
      <c r="J13" s="15" t="n"/>
    </row>
    <row r="14">
      <c r="A14" s="12" t="inlineStr">
        <is>
          <t>Praça</t>
        </is>
      </c>
      <c r="B14" s="13" t="inlineStr">
        <is>
          <t>O horário de funcionamento atende a demanda?</t>
        </is>
      </c>
      <c r="C14" s="13" t="inlineStr">
        <is>
          <t>Fecha às 19 h, demanda até 21 h</t>
        </is>
      </c>
      <c r="D14" s="12" t="n">
        <v>2</v>
      </c>
      <c r="E14" s="12" t="n">
        <v>3</v>
      </c>
      <c r="F14" s="14">
        <f>IF(OR(D14="",E14=""),"",D14*E14)</f>
        <v/>
      </c>
      <c r="G14" s="14">
        <f>IF(OR(D14="",E14=""),"",5*E14)</f>
        <v/>
      </c>
      <c r="H14" s="13" t="inlineStr">
        <is>
          <t>Testar fechamento às 21 h por 2 meses</t>
        </is>
      </c>
      <c r="I14" s="12" t="n"/>
      <c r="J14" s="15" t="n"/>
    </row>
    <row r="15">
      <c r="A15" s="12" t="inlineStr">
        <is>
          <t>Praça</t>
        </is>
      </c>
      <c r="B15" s="13" t="inlineStr">
        <is>
          <t>Existe venda por WhatsApp, entrega ou internet?</t>
        </is>
      </c>
      <c r="C15" s="13" t="inlineStr">
        <is>
          <t>Pedidos só no balcão</t>
        </is>
      </c>
      <c r="D15" s="12" t="n">
        <v>1</v>
      </c>
      <c r="E15" s="12" t="n">
        <v>3</v>
      </c>
      <c r="F15" s="14">
        <f>IF(OR(D15="",E15=""),"",D15*E15)</f>
        <v/>
      </c>
      <c r="G15" s="14">
        <f>IF(OR(D15="",E15=""),"",5*E15)</f>
        <v/>
      </c>
      <c r="H15" s="13" t="inlineStr">
        <is>
          <t>Lançar pedidos por WhatsApp com entrega</t>
        </is>
      </c>
      <c r="I15" s="12" t="n"/>
      <c r="J15" s="15" t="n"/>
    </row>
    <row r="16">
      <c r="A16" s="12" t="inlineStr">
        <is>
          <t>Praça</t>
        </is>
      </c>
      <c r="B16" s="13" t="inlineStr">
        <is>
          <t>O estoque garante o produto na prateleira?</t>
        </is>
      </c>
      <c r="C16" s="13" t="inlineStr">
        <is>
          <t>Ruptura frequente nos itens A</t>
        </is>
      </c>
      <c r="D16" s="12" t="n">
        <v>2</v>
      </c>
      <c r="E16" s="12" t="n">
        <v>3</v>
      </c>
      <c r="F16" s="14">
        <f>IF(OR(D16="",E16=""),"",D16*E16)</f>
        <v/>
      </c>
      <c r="G16" s="14">
        <f>IF(OR(D16="",E16=""),"",5*E16)</f>
        <v/>
      </c>
      <c r="H16" s="13" t="inlineStr">
        <is>
          <t>Contagem rotativa semanal</t>
        </is>
      </c>
      <c r="I16" s="12" t="n"/>
      <c r="J16" s="15" t="n"/>
    </row>
    <row r="17">
      <c r="A17" s="12" t="inlineStr">
        <is>
          <t>Promoção</t>
        </is>
      </c>
      <c r="B17" s="13" t="inlineStr">
        <is>
          <t>A empresa é lembrada pelo público-alvo?</t>
        </is>
      </c>
      <c r="C17" s="13" t="inlineStr">
        <is>
          <t>Conhecida no bairro</t>
        </is>
      </c>
      <c r="D17" s="12" t="n">
        <v>3</v>
      </c>
      <c r="E17" s="12" t="n">
        <v>2</v>
      </c>
      <c r="F17" s="14">
        <f>IF(OR(D17="",E17=""),"",D17*E17)</f>
        <v/>
      </c>
      <c r="G17" s="14">
        <f>IF(OR(D17="",E17=""),"",5*E17)</f>
        <v/>
      </c>
      <c r="H17" s="13" t="n"/>
      <c r="I17" s="12" t="n"/>
      <c r="J17" s="15" t="n"/>
    </row>
    <row r="18">
      <c r="A18" s="12" t="inlineStr">
        <is>
          <t>Promoção</t>
        </is>
      </c>
      <c r="B18" s="13" t="inlineStr">
        <is>
          <t>As redes sociais são usadas com regularidade?</t>
        </is>
      </c>
      <c r="C18" s="13" t="inlineStr">
        <is>
          <t>Postagens esporádicas</t>
        </is>
      </c>
      <c r="D18" s="12" t="n">
        <v>1</v>
      </c>
      <c r="E18" s="12" t="n">
        <v>2</v>
      </c>
      <c r="F18" s="14">
        <f>IF(OR(D18="",E18=""),"",D18*E18)</f>
        <v/>
      </c>
      <c r="G18" s="14">
        <f>IF(OR(D18="",E18=""),"",5*E18)</f>
        <v/>
      </c>
      <c r="H18" s="13" t="inlineStr">
        <is>
          <t>Calendário de 3 posts por semana</t>
        </is>
      </c>
      <c r="I18" s="12" t="n"/>
      <c r="J18" s="15" t="n"/>
    </row>
    <row r="19">
      <c r="A19" s="12" t="inlineStr">
        <is>
          <t>Promoção</t>
        </is>
      </c>
      <c r="B19" s="13" t="inlineStr">
        <is>
          <t>Existe programa de relacionamento ou fidelidade?</t>
        </is>
      </c>
      <c r="C19" s="13" t="inlineStr">
        <is>
          <t>Não existe</t>
        </is>
      </c>
      <c r="D19" s="12" t="n">
        <v>1</v>
      </c>
      <c r="E19" s="12" t="n">
        <v>2</v>
      </c>
      <c r="F19" s="14">
        <f>IF(OR(D19="",E19=""),"",D19*E19)</f>
        <v/>
      </c>
      <c r="G19" s="14">
        <f>IF(OR(D19="",E19=""),"",5*E19)</f>
        <v/>
      </c>
      <c r="H19" s="13" t="inlineStr">
        <is>
          <t>Cartão fidelidade simples</t>
        </is>
      </c>
      <c r="I19" s="12" t="n"/>
      <c r="J19" s="15" t="n"/>
    </row>
    <row r="20">
      <c r="A20" s="12" t="inlineStr">
        <is>
          <t>Promoção</t>
        </is>
      </c>
      <c r="B20" s="13" t="inlineStr">
        <is>
          <t>A equipe de atendimento ajuda a vender?</t>
        </is>
      </c>
      <c r="C20" s="13" t="inlineStr">
        <is>
          <t>Equipe atenciosa, sem sugestão de venda</t>
        </is>
      </c>
      <c r="D20" s="12" t="n">
        <v>3</v>
      </c>
      <c r="E20" s="12" t="n">
        <v>2</v>
      </c>
      <c r="F20" s="14">
        <f>IF(OR(D20="",E20=""),"",D20*E20)</f>
        <v/>
      </c>
      <c r="G20" s="14">
        <f>IF(OR(D20="",E20=""),"",5*E20)</f>
        <v/>
      </c>
      <c r="H20" s="13" t="inlineStr">
        <is>
          <t>Treinar venda adicional</t>
        </is>
      </c>
      <c r="I20" s="12" t="n"/>
      <c r="J20" s="15" t="n"/>
    </row>
    <row r="21">
      <c r="A21" s="12" t="n"/>
      <c r="B21" s="13" t="n"/>
      <c r="C21" s="13" t="n"/>
      <c r="D21" s="12" t="n"/>
      <c r="E21" s="12" t="n"/>
      <c r="F21" s="14">
        <f>IF(OR(D21="",E21=""),"",D21*E21)</f>
        <v/>
      </c>
      <c r="G21" s="14">
        <f>IF(OR(D21="",E21=""),"",5*E21)</f>
        <v/>
      </c>
      <c r="H21" s="13" t="n"/>
      <c r="I21" s="12" t="n"/>
      <c r="J21" s="15" t="n"/>
    </row>
    <row r="22">
      <c r="A22" s="12" t="n"/>
      <c r="B22" s="13" t="n"/>
      <c r="C22" s="13" t="n"/>
      <c r="D22" s="12" t="n"/>
      <c r="E22" s="12" t="n"/>
      <c r="F22" s="14">
        <f>IF(OR(D22="",E22=""),"",D22*E22)</f>
        <v/>
      </c>
      <c r="G22" s="14">
        <f>IF(OR(D22="",E22=""),"",5*E22)</f>
        <v/>
      </c>
      <c r="H22" s="13" t="n"/>
      <c r="I22" s="12" t="n"/>
      <c r="J22" s="15" t="n"/>
    </row>
    <row r="23">
      <c r="A23" s="12" t="n"/>
      <c r="B23" s="13" t="n"/>
      <c r="C23" s="13" t="n"/>
      <c r="D23" s="12" t="n"/>
      <c r="E23" s="12" t="n"/>
      <c r="F23" s="14">
        <f>IF(OR(D23="",E23=""),"",D23*E23)</f>
        <v/>
      </c>
      <c r="G23" s="14">
        <f>IF(OR(D23="",E23=""),"",5*E23)</f>
        <v/>
      </c>
      <c r="H23" s="13" t="n"/>
      <c r="I23" s="12" t="n"/>
      <c r="J23" s="15" t="n"/>
    </row>
    <row r="24">
      <c r="A24" s="12" t="n"/>
      <c r="B24" s="13" t="n"/>
      <c r="C24" s="13" t="n"/>
      <c r="D24" s="12" t="n"/>
      <c r="E24" s="12" t="n"/>
      <c r="F24" s="14">
        <f>IF(OR(D24="",E24=""),"",D24*E24)</f>
        <v/>
      </c>
      <c r="G24" s="14">
        <f>IF(OR(D24="",E24=""),"",5*E24)</f>
        <v/>
      </c>
      <c r="H24" s="13" t="n"/>
      <c r="I24" s="12" t="n"/>
      <c r="J24" s="15" t="n"/>
    </row>
    <row r="25">
      <c r="A25" s="12" t="n"/>
      <c r="B25" s="13" t="n"/>
      <c r="C25" s="13" t="n"/>
      <c r="D25" s="12" t="n"/>
      <c r="E25" s="12" t="n"/>
      <c r="F25" s="14">
        <f>IF(OR(D25="",E25=""),"",D25*E25)</f>
        <v/>
      </c>
      <c r="G25" s="14">
        <f>IF(OR(D25="",E25=""),"",5*E25)</f>
        <v/>
      </c>
      <c r="H25" s="13" t="n"/>
      <c r="I25" s="12" t="n"/>
      <c r="J25" s="15" t="n"/>
    </row>
    <row r="26">
      <c r="A26" s="12" t="n"/>
      <c r="B26" s="13" t="n"/>
      <c r="C26" s="13" t="n"/>
      <c r="D26" s="12" t="n"/>
      <c r="E26" s="12" t="n"/>
      <c r="F26" s="14">
        <f>IF(OR(D26="",E26=""),"",D26*E26)</f>
        <v/>
      </c>
      <c r="G26" s="14">
        <f>IF(OR(D26="",E26=""),"",5*E26)</f>
        <v/>
      </c>
      <c r="H26" s="13" t="n"/>
      <c r="I26" s="12" t="n"/>
      <c r="J26" s="15" t="n"/>
    </row>
    <row r="27">
      <c r="A27" s="12" t="n"/>
      <c r="B27" s="13" t="n"/>
      <c r="C27" s="13" t="n"/>
      <c r="D27" s="12" t="n"/>
      <c r="E27" s="12" t="n"/>
      <c r="F27" s="14">
        <f>IF(OR(D27="",E27=""),"",D27*E27)</f>
        <v/>
      </c>
      <c r="G27" s="14">
        <f>IF(OR(D27="",E27=""),"",5*E27)</f>
        <v/>
      </c>
      <c r="H27" s="13" t="n"/>
      <c r="I27" s="12" t="n"/>
      <c r="J27" s="15" t="n"/>
    </row>
    <row r="28">
      <c r="A28" s="12" t="n"/>
      <c r="B28" s="13" t="n"/>
      <c r="C28" s="13" t="n"/>
      <c r="D28" s="12" t="n"/>
      <c r="E28" s="12" t="n"/>
      <c r="F28" s="14">
        <f>IF(OR(D28="",E28=""),"",D28*E28)</f>
        <v/>
      </c>
      <c r="G28" s="14">
        <f>IF(OR(D28="",E28=""),"",5*E28)</f>
        <v/>
      </c>
      <c r="H28" s="13" t="n"/>
      <c r="I28" s="12" t="n"/>
      <c r="J28" s="15" t="n"/>
    </row>
  </sheetData>
  <mergeCells count="2">
    <mergeCell ref="A1:J1"/>
    <mergeCell ref="A2:J2"/>
  </mergeCells>
  <conditionalFormatting sqref="D5:D28">
    <cfRule type="cellIs" priority="1" operator="lessThanOrEqual" dxfId="0">
      <formula>2</formula>
    </cfRule>
  </conditionalFormatting>
  <dataValidations count="3">
    <dataValidation sqref="A5:A28" showDropDown="0" showInputMessage="0" showErrorMessage="0" allowBlank="1" errorTitle="Valor fora da lista" error="Escolha um dos 4 Ps." type="list">
      <formula1>"Produto,Preço,Praça,Promoção"</formula1>
    </dataValidation>
    <dataValidation sqref="D5:D28" showDropDown="0" showInputMessage="0" showErrorMessage="0" allowBlank="0" errorTitle="Nota inválida" error="Digite um número inteiro de 1 a 5." type="whole" operator="between">
      <formula1>1</formula1>
      <formula2>5</formula2>
    </dataValidation>
    <dataValidation sqref="E5:E28" showDropDown="0" showInputMessage="0" showErrorMessage="0" allowBlank="0" errorTitle="Nota inválida" error="Digite um número inteiro de 1 a 3." type="whole" operator="between">
      <formula1>1</formula1>
      <formula2>3</formula2>
    </dataValidation>
  </dataValidations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8" customWidth="1" min="4" max="4"/>
    <col width="14" customWidth="1" min="5" max="5"/>
  </cols>
  <sheetData>
    <row r="1" ht="22" customHeight="1">
      <c r="A1" s="1" t="inlineStr">
        <is>
          <t>Jonatas Magalhães  |  Consultoria em Dados, Processos e Operações</t>
        </is>
      </c>
      <c r="B1" s="2" t="n"/>
      <c r="C1" s="2" t="n"/>
      <c r="D1" s="2" t="n"/>
      <c r="E1" s="2" t="n"/>
    </row>
    <row r="2" ht="30" customHeight="1">
      <c r="A2" s="3" t="inlineStr">
        <is>
          <t>Análise dos 4 Ps do marketing  —  resultado por P</t>
        </is>
      </c>
      <c r="B2" s="4" t="n"/>
      <c r="C2" s="4" t="n"/>
      <c r="D2" s="4" t="n"/>
      <c r="E2" s="4" t="n"/>
    </row>
    <row r="4" ht="36" customHeight="1">
      <c r="A4" s="11" t="inlineStr">
        <is>
          <t>P</t>
        </is>
      </c>
      <c r="B4" s="11" t="inlineStr">
        <is>
          <t>Pontos</t>
        </is>
      </c>
      <c r="C4" s="11" t="inlineStr">
        <is>
          <t>Pontos possíveis</t>
        </is>
      </c>
      <c r="D4" s="11" t="inlineStr">
        <is>
          <t>Índice (0 a 100%)</t>
        </is>
      </c>
      <c r="E4" s="11" t="inlineStr">
        <is>
          <t>Prioridade</t>
        </is>
      </c>
    </row>
    <row r="5">
      <c r="A5" s="14" t="inlineStr">
        <is>
          <t>Produto</t>
        </is>
      </c>
      <c r="B5" s="14">
        <f>SUMIF('Análise 4Ps'!$A$5:$A$28,A5,'Análise 4Ps'!$F$5:$F$28)</f>
        <v/>
      </c>
      <c r="C5" s="14">
        <f>SUMIF('Análise 4Ps'!$A$5:$A$28,A5,'Análise 4Ps'!$G$5:$G$28)</f>
        <v/>
      </c>
      <c r="D5" s="16">
        <f>IFERROR(B5/C5,0)</f>
        <v/>
      </c>
      <c r="E5" s="14">
        <f>RANK(D5,$D$5:$D$8,1)&amp;"º"</f>
        <v/>
      </c>
    </row>
    <row r="6">
      <c r="A6" s="14" t="inlineStr">
        <is>
          <t>Preço</t>
        </is>
      </c>
      <c r="B6" s="14">
        <f>SUMIF('Análise 4Ps'!$A$5:$A$28,A6,'Análise 4Ps'!$F$5:$F$28)</f>
        <v/>
      </c>
      <c r="C6" s="14">
        <f>SUMIF('Análise 4Ps'!$A$5:$A$28,A6,'Análise 4Ps'!$G$5:$G$28)</f>
        <v/>
      </c>
      <c r="D6" s="16">
        <f>IFERROR(B6/C6,0)</f>
        <v/>
      </c>
      <c r="E6" s="14">
        <f>RANK(D6,$D$5:$D$8,1)&amp;"º"</f>
        <v/>
      </c>
    </row>
    <row r="7">
      <c r="A7" s="14" t="inlineStr">
        <is>
          <t>Praça</t>
        </is>
      </c>
      <c r="B7" s="14">
        <f>SUMIF('Análise 4Ps'!$A$5:$A$28,A7,'Análise 4Ps'!$F$5:$F$28)</f>
        <v/>
      </c>
      <c r="C7" s="14">
        <f>SUMIF('Análise 4Ps'!$A$5:$A$28,A7,'Análise 4Ps'!$G$5:$G$28)</f>
        <v/>
      </c>
      <c r="D7" s="16">
        <f>IFERROR(B7/C7,0)</f>
        <v/>
      </c>
      <c r="E7" s="14">
        <f>RANK(D7,$D$5:$D$8,1)&amp;"º"</f>
        <v/>
      </c>
    </row>
    <row r="8">
      <c r="A8" s="14" t="inlineStr">
        <is>
          <t>Promoção</t>
        </is>
      </c>
      <c r="B8" s="14">
        <f>SUMIF('Análise 4Ps'!$A$5:$A$28,A8,'Análise 4Ps'!$F$5:$F$28)</f>
        <v/>
      </c>
      <c r="C8" s="14">
        <f>SUMIF('Análise 4Ps'!$A$5:$A$28,A8,'Análise 4Ps'!$G$5:$G$28)</f>
        <v/>
      </c>
      <c r="D8" s="16">
        <f>IFERROR(B8/C8,0)</f>
        <v/>
      </c>
      <c r="E8" s="14">
        <f>RANK(D8,$D$5:$D$8,1)&amp;"º"</f>
        <v/>
      </c>
    </row>
    <row r="9">
      <c r="A9" s="17" t="inlineStr">
        <is>
          <t>Total</t>
        </is>
      </c>
      <c r="B9" s="18">
        <f>SUM(B5:B8)</f>
        <v/>
      </c>
      <c r="C9" s="18">
        <f>SUM(C5:C8)</f>
        <v/>
      </c>
      <c r="D9" s="19">
        <f>IFERROR(B9/C9,0)</f>
        <v/>
      </c>
      <c r="E9" s="18" t="n"/>
    </row>
    <row r="11">
      <c r="A11" s="9" t="inlineStr">
        <is>
          <t>Prioridade 1º = o P com menor índice: comece as ações por ele.</t>
        </is>
      </c>
    </row>
  </sheetData>
  <mergeCells count="2">
    <mergeCell ref="A2:E2"/>
    <mergeCell ref="A1:E1"/>
  </mergeCells>
  <conditionalFormatting sqref="D5">
    <cfRule type="cellIs" priority="1" operator="lessThan" dxfId="0">
      <formula>0.5</formula>
    </cfRule>
    <cfRule type="cellIs" priority="2" operator="between" dxfId="1">
      <formula>0.5</formula>
      <formula>0.7499</formula>
    </cfRule>
    <cfRule type="cellIs" priority="3" operator="greaterThanOrEqual" dxfId="2">
      <formula>0.75</formula>
    </cfRule>
  </conditionalFormatting>
  <conditionalFormatting sqref="D6">
    <cfRule type="cellIs" priority="4" operator="lessThan" dxfId="0">
      <formula>0.5</formula>
    </cfRule>
    <cfRule type="cellIs" priority="5" operator="between" dxfId="1">
      <formula>0.5</formula>
      <formula>0.7499</formula>
    </cfRule>
    <cfRule type="cellIs" priority="6" operator="greaterThanOrEqual" dxfId="2">
      <formula>0.75</formula>
    </cfRule>
  </conditionalFormatting>
  <conditionalFormatting sqref="D7">
    <cfRule type="cellIs" priority="7" operator="lessThan" dxfId="0">
      <formula>0.5</formula>
    </cfRule>
    <cfRule type="cellIs" priority="8" operator="between" dxfId="1">
      <formula>0.5</formula>
      <formula>0.7499</formula>
    </cfRule>
    <cfRule type="cellIs" priority="9" operator="greaterThanOrEqual" dxfId="2">
      <formula>0.75</formula>
    </cfRule>
  </conditionalFormatting>
  <conditionalFormatting sqref="D8">
    <cfRule type="cellIs" priority="10" operator="lessThan" dxfId="0">
      <formula>0.5</formula>
    </cfRule>
    <cfRule type="cellIs" priority="11" operator="between" dxfId="1">
      <formula>0.5</formula>
      <formula>0.7499</formula>
    </cfRule>
    <cfRule type="cellIs" priority="12" operator="greaterThanOrEqual" dxfId="2">
      <formula>0.75</formula>
    </cfRule>
  </conditionalFormatting>
  <pageMargins left="0.75" right="0.75" top="1" bottom="1" header="0.5" footer="0.5"/>
  <pageSetup orientation="landscape" paperSize="9" fitToHeight="0" fitToWidth="1"/>
  <headerFooter>
    <oddHeader/>
    <oddFooter>&amp;C&amp;8 Jonatas Magalhães  |  jonatasmag.github.io  | 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Jonatas Magalhães</dc:creator>
  <dcterms:created xmlns:dcterms="http://purl.org/dc/terms/" xmlns:xsi="http://www.w3.org/2001/XMLSchema-instance" xsi:type="dcterms:W3CDTF">2026-10-27T21:37:23Z</dcterms:created>
  <dcterms:modified xmlns:dcterms="http://purl.org/dc/terms/" xmlns:xsi="http://www.w3.org/2001/XMLSchema-instance" xsi:type="dcterms:W3CDTF">2026-10-27T21:37:23Z</dcterms:modified>
</cp:coreProperties>
</file>