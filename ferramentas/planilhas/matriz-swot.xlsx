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Levantamento" sheetId="2" state="visible" r:id="rId2"/>
    <sheet xmlns:r="http://schemas.openxmlformats.org/officeDocument/2006/relationships" name="Matriz" sheetId="3" state="visible" r:id="rId3"/>
    <sheet xmlns:r="http://schemas.openxmlformats.org/officeDocument/2006/relationships" name="Estratég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C2238"/>
      <sz val="14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B6E4A"/>
      <sz val="10"/>
    </font>
    <font>
      <name val="Arial"/>
      <b val="1"/>
      <color rgb="009A6413"/>
      <sz val="10"/>
    </font>
    <font>
      <name val="Arial"/>
      <b val="1"/>
      <color rgb="002A6496"/>
      <sz val="10"/>
    </font>
    <font>
      <name val="Arial"/>
      <b val="1"/>
      <color rgb="009B2C2C"/>
      <sz val="10"/>
    </font>
    <font>
      <name val="Arial"/>
      <color rgb="0056687A"/>
      <sz val="9"/>
    </font>
    <font>
      <name val="Arial"/>
      <b val="1"/>
      <sz val="11"/>
    </font>
    <font>
      <name val="Arial"/>
      <b val="1"/>
      <color rgb="000C2238"/>
      <sz val="11"/>
    </font>
    <font>
      <name val="Arial"/>
      <b val="1"/>
      <color rgb="000C2238"/>
      <sz val="12"/>
    </font>
    <font>
      <name val="Arial"/>
      <sz val="11"/>
    </font>
    <font>
      <name val="Arial"/>
      <b val="1"/>
      <color rgb="00E8A33D"/>
      <sz val="11"/>
    </font>
    <font>
      <name val="Arial"/>
      <color rgb="0056687A"/>
      <sz val="10"/>
    </font>
  </fonts>
  <fills count="10">
    <fill>
      <patternFill/>
    </fill>
    <fill>
      <patternFill patternType="gray125"/>
    </fill>
    <fill>
      <patternFill patternType="solid">
        <fgColor rgb="000C2238"/>
      </patternFill>
    </fill>
    <fill>
      <patternFill patternType="solid">
        <fgColor rgb="00163452"/>
      </patternFill>
    </fill>
    <fill>
      <patternFill patternType="solid">
        <fgColor rgb="00FFF8E8"/>
      </patternFill>
    </fill>
    <fill>
      <patternFill patternType="solid">
        <fgColor rgb="001B6E4A"/>
      </patternFill>
    </fill>
    <fill>
      <patternFill patternType="solid">
        <fgColor rgb="009A6413"/>
      </patternFill>
    </fill>
    <fill>
      <patternFill patternType="solid">
        <fgColor rgb="002A6496"/>
      </patternFill>
    </fill>
    <fill>
      <patternFill patternType="solid">
        <fgColor rgb="009B2C2C"/>
      </patternFill>
    </fill>
    <fill>
      <patternFill patternType="solid">
        <fgColor rgb="00E9EEF3"/>
      </patternFill>
    </fill>
  </fills>
  <borders count="7">
    <border>
      <left/>
      <right/>
      <top/>
      <bottom/>
      <diagonal/>
    </border>
    <border>
      <bottom style="medium">
        <color rgb="00E8A33D"/>
      </bottom>
    </border>
    <border>
      <left/>
      <right/>
      <top/>
      <bottom style="medium">
        <color rgb="00E8A33D"/>
      </bottom>
      <diagonal/>
    </border>
    <border>
      <left style="thin">
        <color rgb="00D6DEE6"/>
      </left>
      <right style="thin">
        <color rgb="00D6DEE6"/>
      </right>
      <top style="thin">
        <color rgb="00D6DEE6"/>
      </top>
      <bottom style="thin">
        <color rgb="00D6DEE6"/>
      </bottom>
    </border>
    <border>
      <left/>
      <right/>
      <top style="thin">
        <color rgb="00D6DEE6"/>
      </top>
      <bottom/>
      <diagonal/>
    </border>
    <border>
      <left/>
      <right style="thin">
        <color rgb="00D6DEE6"/>
      </right>
      <top style="thin">
        <color rgb="00D6DEE6"/>
      </top>
      <bottom/>
      <diagonal/>
    </border>
    <border>
      <left/>
      <right style="thin">
        <color rgb="00D6DEE6"/>
      </right>
      <top style="thin">
        <color rgb="00D6DEE6"/>
      </top>
      <bottom style="thin">
        <color rgb="00D6DEE6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1" applyAlignment="1" pivotButton="0" quotePrefix="0" xfId="0">
      <alignment vertical="center" indent="1"/>
    </xf>
    <xf numFmtId="0" fontId="0" fillId="0" borderId="2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horizontal="right" vertical="top"/>
    </xf>
    <xf numFmtId="0" fontId="0" fillId="4" borderId="0" pivotButton="0" quotePrefix="0" xfId="0"/>
    <xf numFmtId="0" fontId="15" fillId="0" borderId="0" pivotButton="0" quotePrefix="0" xfId="0"/>
    <xf numFmtId="0" fontId="9" fillId="0" borderId="0" pivotButton="0" quotePrefix="0" xfId="0"/>
    <xf numFmtId="0" fontId="1" fillId="3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/>
    </xf>
    <xf numFmtId="0" fontId="3" fillId="0" borderId="3" applyAlignment="1" pivotButton="0" quotePrefix="0" xfId="0">
      <alignment vertical="top"/>
    </xf>
    <xf numFmtId="0" fontId="4" fillId="5" borderId="0" applyAlignment="1" pivotButton="0" quotePrefix="0" xfId="0">
      <alignment vertical="center" indent="1"/>
    </xf>
    <xf numFmtId="0" fontId="4" fillId="6" borderId="0" applyAlignment="1" pivotButton="0" quotePrefix="0" xfId="0">
      <alignment vertical="center" indent="1"/>
    </xf>
    <xf numFmtId="0" fontId="5" fillId="0" borderId="3" applyAlignment="1" pivotButton="0" quotePrefix="0" xfId="0">
      <alignment horizontal="center" vertical="top"/>
    </xf>
    <xf numFmtId="0" fontId="3" fillId="0" borderId="3" applyAlignment="1" pivotButton="0" quotePrefix="0" xfId="0">
      <alignment vertical="top" wrapText="1"/>
    </xf>
    <xf numFmtId="0" fontId="6" fillId="0" borderId="3" applyAlignment="1" pivotButton="0" quotePrefix="0" xfId="0">
      <alignment horizontal="center" vertical="top"/>
    </xf>
    <xf numFmtId="0" fontId="4" fillId="7" borderId="0" applyAlignment="1" pivotButton="0" quotePrefix="0" xfId="0">
      <alignment vertical="center" indent="1"/>
    </xf>
    <xf numFmtId="0" fontId="4" fillId="8" borderId="0" applyAlignment="1" pivotButton="0" quotePrefix="0" xfId="0">
      <alignment vertical="center" indent="1"/>
    </xf>
    <xf numFmtId="0" fontId="7" fillId="0" borderId="3" applyAlignment="1" pivotButton="0" quotePrefix="0" xfId="0">
      <alignment horizontal="center" vertical="top"/>
    </xf>
    <xf numFmtId="0" fontId="8" fillId="0" borderId="3" applyAlignment="1" pivotButton="0" quotePrefix="0" xfId="0">
      <alignment horizontal="center" vertical="top"/>
    </xf>
    <xf numFmtId="0" fontId="10" fillId="0" borderId="0" pivotButton="0" quotePrefix="0" xfId="0"/>
    <xf numFmtId="0" fontId="11" fillId="9" borderId="3" pivotButton="0" quotePrefix="0" xfId="0"/>
    <xf numFmtId="0" fontId="0" fillId="0" borderId="6" pivotButton="0" quotePrefix="0" xfId="0"/>
  </cellXfs>
  <cellStyles count="1">
    <cellStyle name="Normal" xfId="0" builtinId="0" hidden="0"/>
  </cellStyles>
  <dxfs count="4">
    <dxf>
      <fill>
        <patternFill patternType="solid">
          <fgColor rgb="00E3F4EC"/>
        </patternFill>
      </fill>
    </dxf>
    <dxf>
      <fill>
        <patternFill patternType="solid">
          <fgColor rgb="00E3EEF8"/>
        </patternFill>
      </fill>
    </dxf>
    <dxf>
      <fill>
        <patternFill patternType="solid">
          <fgColor rgb="00FBF0DC"/>
        </patternFill>
      </fill>
    </dxf>
    <dxf>
      <fill>
        <patternFill patternType="solid">
          <fgColor rgb="00FBE5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0" customWidth="1" min="3" max="3"/>
  </cols>
  <sheetData>
    <row r="1" ht="22" customHeight="1">
      <c r="A1" s="1" t="inlineStr">
        <is>
          <t>Jonatas Magalhães  |  Consultoria em Dados, Processos e Operações</t>
        </is>
      </c>
      <c r="B1" s="2" t="n"/>
      <c r="C1" s="2" t="n"/>
    </row>
    <row r="2" ht="30" customHeight="1">
      <c r="A2" s="3" t="inlineStr">
        <is>
          <t>Matriz SWOT (FOFA)</t>
        </is>
      </c>
      <c r="B2" s="4" t="n"/>
      <c r="C2" s="4" t="n"/>
    </row>
    <row r="4">
      <c r="B4" s="5" t="inlineStr">
        <is>
          <t>Para que serve</t>
        </is>
      </c>
    </row>
    <row r="5" ht="45" customHeight="1">
      <c r="C5" s="6" t="inlineStr">
        <is>
          <t>Organizar o que a empresa tem de bom e de ruim (forças e fraquezas, ambiente interno) e o que acontece fora dela (oportunidades e ameaças, ambiente externo), priorizar os fatores e definir estratégias cruzadas.</t>
        </is>
      </c>
    </row>
    <row r="7">
      <c r="B7" s="5" t="inlineStr">
        <is>
          <t>Passo a passo</t>
        </is>
      </c>
    </row>
    <row r="8" ht="15" customHeight="1">
      <c r="B8" s="7" t="n">
        <v>1</v>
      </c>
      <c r="C8" s="6" t="inlineStr">
        <is>
          <t>Na aba Levantamento, liste os fatores. Use frases curtas e concretas.</t>
        </is>
      </c>
    </row>
    <row r="9" ht="30" customHeight="1">
      <c r="B9" s="7" t="n">
        <v>2</v>
      </c>
      <c r="C9" s="6" t="inlineStr">
        <is>
          <t>Para cada fator, escolha o tipo: Força, Fraqueza, Oportunidade ou Ameaça. O ambiente (interno ou externo) é preenchido sozinho.</t>
        </is>
      </c>
    </row>
    <row r="10" ht="15" customHeight="1">
      <c r="B10" s="7" t="n">
        <v>3</v>
      </c>
      <c r="C10" s="6" t="inlineStr">
        <is>
          <t>Dê notas de impacto e de relevância de 1 a 5. A pontuação e a posição no tipo são calculadas.</t>
        </is>
      </c>
    </row>
    <row r="11" ht="15" customHeight="1">
      <c r="B11" s="7" t="n">
        <v>4</v>
      </c>
      <c r="C11" s="6" t="inlineStr">
        <is>
          <t>A aba Matriz mostra os 5 fatores mais importantes de cada quadrante, prontos para apresentar.</t>
        </is>
      </c>
    </row>
    <row r="12" ht="15" customHeight="1">
      <c r="B12" s="7" t="n">
        <v>5</v>
      </c>
      <c r="C12" s="6" t="inlineStr">
        <is>
          <t>Na aba Estratégias, veja a postura sugerida e escreva as ações cruzadas (FO, FA, DO e DA).</t>
        </is>
      </c>
    </row>
    <row r="13" ht="15" customHeight="1">
      <c r="B13" s="7" t="n">
        <v>6</v>
      </c>
      <c r="C13" s="6" t="inlineStr">
        <is>
          <t>Leve as ações para o plano 5W2H e refaça a análise a cada 6 meses ou quando o mercado mudar.</t>
        </is>
      </c>
    </row>
    <row r="15">
      <c r="B15" s="5" t="inlineStr">
        <is>
          <t>Bom saber</t>
        </is>
      </c>
    </row>
    <row r="16" ht="30" customHeight="1">
      <c r="C16" s="6" t="inlineStr">
        <is>
          <t>Força e fraqueza dependem da empresa (dá para mudar). Oportunidade e ameaça vêm de fora (dá para se preparar).</t>
        </is>
      </c>
    </row>
    <row r="17" ht="15" customHeight="1">
      <c r="C17" s="6" t="inlineStr">
        <is>
          <t>Evite fatores genéricos como "bom atendimento". Prefira fatos: "nota 4,8 em 120 avaliações".</t>
        </is>
      </c>
    </row>
    <row r="19">
      <c r="B19" s="8" t="n"/>
      <c r="C19" s="9" t="inlineStr">
        <is>
          <t>Células nesta cor: você digita. As demais são calculadas e não precisam ser alteradas.</t>
        </is>
      </c>
    </row>
    <row r="20">
      <c r="C20" s="9" t="inlineStr">
        <is>
          <t>Procedimento de implantação: POP-F05 (baixe junto no painel).  Os dados de exemplo são fictícios.</t>
        </is>
      </c>
    </row>
    <row r="22">
      <c r="C22" s="10" t="inlineStr">
        <is>
          <t>jonatasmag.github.io  |  chazaq.adm@gmail.com  |  (47) 98849-9129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9" fitToHeight="0" fitToWidth="1"/>
  <headerFooter>
    <oddHeader/>
    <oddFooter>&amp;C&amp;8 Jonatas Magalhães  |  jonatasmag.github.io  | 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hidden="1" width="6" customWidth="1" min="8" max="8"/>
    <col hidden="1" width="14" customWidth="1" min="9" max="9"/>
  </cols>
  <sheetData>
    <row r="1" ht="22" customHeight="1">
      <c r="A1" s="1" t="inlineStr">
        <is>
          <t>Jonatas Magalhães  |  Consultoria em Dados, Processos e Operações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3" t="inlineStr">
        <is>
          <t>Matriz SWOT (FOFA)  —  levantamento dos fatores</t>
        </is>
      </c>
      <c r="B2" s="4" t="n"/>
      <c r="C2" s="4" t="n"/>
      <c r="D2" s="4" t="n"/>
      <c r="E2" s="4" t="n"/>
      <c r="F2" s="4" t="n"/>
      <c r="G2" s="4" t="n"/>
    </row>
    <row r="4" ht="36" customHeight="1">
      <c r="A4" s="11" t="inlineStr">
        <is>
          <t>Fator</t>
        </is>
      </c>
      <c r="B4" s="11" t="inlineStr">
        <is>
          <t>Tipo</t>
        </is>
      </c>
      <c r="C4" s="11" t="inlineStr">
        <is>
          <t>Ambiente</t>
        </is>
      </c>
      <c r="D4" s="11" t="inlineStr">
        <is>
          <t>Impacto (1 a 5)</t>
        </is>
      </c>
      <c r="E4" s="11" t="inlineStr">
        <is>
          <t>Relevância (1 a 5)</t>
        </is>
      </c>
      <c r="F4" s="11" t="inlineStr">
        <is>
          <t>Pontuação</t>
        </is>
      </c>
      <c r="G4" s="11" t="inlineStr">
        <is>
          <t>Posição no tipo</t>
        </is>
      </c>
      <c r="H4" s="11" t="inlineStr">
        <is>
          <t>Ordem</t>
        </is>
      </c>
      <c r="I4" s="11" t="inlineStr">
        <is>
          <t>Chave</t>
        </is>
      </c>
    </row>
    <row r="5">
      <c r="A5" s="12" t="inlineStr">
        <is>
          <t>Atendimento próximo e conhecido no bairro</t>
        </is>
      </c>
      <c r="B5" s="13" t="inlineStr">
        <is>
          <t>Força</t>
        </is>
      </c>
      <c r="C5" s="14">
        <f>IF(B5="","",IF(OR(B5="Força",B5="Fraqueza"),"Interno","Externo"))</f>
        <v/>
      </c>
      <c r="D5" s="13" t="n">
        <v>5</v>
      </c>
      <c r="E5" s="13" t="n">
        <v>4</v>
      </c>
      <c r="F5" s="14">
        <f>IF(OR(B5="",D5="",E5=""),"",D5*E5)</f>
        <v/>
      </c>
      <c r="G5" s="14">
        <f>IF(F5="","",COUNTIFS($B$5:$B$44,B5,$F$5:$F$44,"&gt;"&amp;F5)+COUNTIFS($B$5:$B$44,B5,$F$5:$F$44,F5,$H$5:$H$44,"&lt;"&amp;H5)+1)</f>
        <v/>
      </c>
      <c r="H5" s="14" t="n">
        <v>1</v>
      </c>
      <c r="I5" s="14">
        <f>IF(G5="","",B5&amp;"-"&amp;G5)</f>
        <v/>
      </c>
    </row>
    <row r="6">
      <c r="A6" s="12" t="inlineStr">
        <is>
          <t>Pão artesanal com fama na região</t>
        </is>
      </c>
      <c r="B6" s="13" t="inlineStr">
        <is>
          <t>Força</t>
        </is>
      </c>
      <c r="C6" s="14">
        <f>IF(B6="","",IF(OR(B6="Força",B6="Fraqueza"),"Interno","Externo"))</f>
        <v/>
      </c>
      <c r="D6" s="13" t="n">
        <v>4</v>
      </c>
      <c r="E6" s="13" t="n">
        <v>5</v>
      </c>
      <c r="F6" s="14">
        <f>IF(OR(B6="",D6="",E6=""),"",D6*E6)</f>
        <v/>
      </c>
      <c r="G6" s="14">
        <f>IF(F6="","",COUNTIFS($B$5:$B$44,B6,$F$5:$F$44,"&gt;"&amp;F6)+COUNTIFS($B$5:$B$44,B6,$F$5:$F$44,F6,$H$5:$H$44,"&lt;"&amp;H6)+1)</f>
        <v/>
      </c>
      <c r="H6" s="14" t="n">
        <v>2</v>
      </c>
      <c r="I6" s="14">
        <f>IF(G6="","",B6&amp;"-"&amp;G6)</f>
        <v/>
      </c>
    </row>
    <row r="7">
      <c r="A7" s="12" t="inlineStr">
        <is>
          <t>Equipe estável, com pouca rotatividade</t>
        </is>
      </c>
      <c r="B7" s="13" t="inlineStr">
        <is>
          <t>Força</t>
        </is>
      </c>
      <c r="C7" s="14">
        <f>IF(B7="","",IF(OR(B7="Força",B7="Fraqueza"),"Interno","Externo"))</f>
        <v/>
      </c>
      <c r="D7" s="13" t="n">
        <v>3</v>
      </c>
      <c r="E7" s="13" t="n">
        <v>3</v>
      </c>
      <c r="F7" s="14">
        <f>IF(OR(B7="",D7="",E7=""),"",D7*E7)</f>
        <v/>
      </c>
      <c r="G7" s="14">
        <f>IF(F7="","",COUNTIFS($B$5:$B$44,B7,$F$5:$F$44,"&gt;"&amp;F7)+COUNTIFS($B$5:$B$44,B7,$F$5:$F$44,F7,$H$5:$H$44,"&lt;"&amp;H7)+1)</f>
        <v/>
      </c>
      <c r="H7" s="14" t="n">
        <v>3</v>
      </c>
      <c r="I7" s="14">
        <f>IF(G7="","",B7&amp;"-"&amp;G7)</f>
        <v/>
      </c>
    </row>
    <row r="8">
      <c r="A8" s="12" t="inlineStr">
        <is>
          <t>Ponto comercial próprio, sem aluguel</t>
        </is>
      </c>
      <c r="B8" s="13" t="inlineStr">
        <is>
          <t>Força</t>
        </is>
      </c>
      <c r="C8" s="14">
        <f>IF(B8="","",IF(OR(B8="Força",B8="Fraqueza"),"Interno","Externo"))</f>
        <v/>
      </c>
      <c r="D8" s="13" t="n">
        <v>4</v>
      </c>
      <c r="E8" s="13" t="n">
        <v>3</v>
      </c>
      <c r="F8" s="14">
        <f>IF(OR(B8="",D8="",E8=""),"",D8*E8)</f>
        <v/>
      </c>
      <c r="G8" s="14">
        <f>IF(F8="","",COUNTIFS($B$5:$B$44,B8,$F$5:$F$44,"&gt;"&amp;F8)+COUNTIFS($B$5:$B$44,B8,$F$5:$F$44,F8,$H$5:$H$44,"&lt;"&amp;H8)+1)</f>
        <v/>
      </c>
      <c r="H8" s="14" t="n">
        <v>4</v>
      </c>
      <c r="I8" s="14">
        <f>IF(G8="","",B8&amp;"-"&amp;G8)</f>
        <v/>
      </c>
    </row>
    <row r="9">
      <c r="A9" s="12" t="inlineStr">
        <is>
          <t>Sem controle de estoque: ruptura frequente</t>
        </is>
      </c>
      <c r="B9" s="13" t="inlineStr">
        <is>
          <t>Fraqueza</t>
        </is>
      </c>
      <c r="C9" s="14">
        <f>IF(B9="","",IF(OR(B9="Força",B9="Fraqueza"),"Interno","Externo"))</f>
        <v/>
      </c>
      <c r="D9" s="13" t="n">
        <v>5</v>
      </c>
      <c r="E9" s="13" t="n">
        <v>5</v>
      </c>
      <c r="F9" s="14">
        <f>IF(OR(B9="",D9="",E9=""),"",D9*E9)</f>
        <v/>
      </c>
      <c r="G9" s="14">
        <f>IF(F9="","",COUNTIFS($B$5:$B$44,B9,$F$5:$F$44,"&gt;"&amp;F9)+COUNTIFS($B$5:$B$44,B9,$F$5:$F$44,F9,$H$5:$H$44,"&lt;"&amp;H9)+1)</f>
        <v/>
      </c>
      <c r="H9" s="14" t="n">
        <v>5</v>
      </c>
      <c r="I9" s="14">
        <f>IF(G9="","",B9&amp;"-"&amp;G9)</f>
        <v/>
      </c>
    </row>
    <row r="10">
      <c r="A10" s="12" t="inlineStr">
        <is>
          <t>Margem desconhecida em vários produtos</t>
        </is>
      </c>
      <c r="B10" s="13" t="inlineStr">
        <is>
          <t>Fraqueza</t>
        </is>
      </c>
      <c r="C10" s="14">
        <f>IF(B10="","",IF(OR(B10="Força",B10="Fraqueza"),"Interno","Externo"))</f>
        <v/>
      </c>
      <c r="D10" s="13" t="n">
        <v>4</v>
      </c>
      <c r="E10" s="13" t="n">
        <v>4</v>
      </c>
      <c r="F10" s="14">
        <f>IF(OR(B10="",D10="",E10=""),"",D10*E10)</f>
        <v/>
      </c>
      <c r="G10" s="14">
        <f>IF(F10="","",COUNTIFS($B$5:$B$44,B10,$F$5:$F$44,"&gt;"&amp;F10)+COUNTIFS($B$5:$B$44,B10,$F$5:$F$44,F10,$H$5:$H$44,"&lt;"&amp;H10)+1)</f>
        <v/>
      </c>
      <c r="H10" s="14" t="n">
        <v>6</v>
      </c>
      <c r="I10" s="14">
        <f>IF(G10="","",B10&amp;"-"&amp;G10)</f>
        <v/>
      </c>
    </row>
    <row r="11">
      <c r="A11" s="12" t="inlineStr">
        <is>
          <t>Sem vendas por WhatsApp ou entrega</t>
        </is>
      </c>
      <c r="B11" s="13" t="inlineStr">
        <is>
          <t>Fraqueza</t>
        </is>
      </c>
      <c r="C11" s="14">
        <f>IF(B11="","",IF(OR(B11="Força",B11="Fraqueza"),"Interno","Externo"))</f>
        <v/>
      </c>
      <c r="D11" s="13" t="n">
        <v>4</v>
      </c>
      <c r="E11" s="13" t="n">
        <v>3</v>
      </c>
      <c r="F11" s="14">
        <f>IF(OR(B11="",D11="",E11=""),"",D11*E11)</f>
        <v/>
      </c>
      <c r="G11" s="14">
        <f>IF(F11="","",COUNTIFS($B$5:$B$44,B11,$F$5:$F$44,"&gt;"&amp;F11)+COUNTIFS($B$5:$B$44,B11,$F$5:$F$44,F11,$H$5:$H$44,"&lt;"&amp;H11)+1)</f>
        <v/>
      </c>
      <c r="H11" s="14" t="n">
        <v>7</v>
      </c>
      <c r="I11" s="14">
        <f>IF(G11="","",B11&amp;"-"&amp;G11)</f>
        <v/>
      </c>
    </row>
    <row r="12">
      <c r="A12" s="12" t="inlineStr">
        <is>
          <t>Pouca presença nas redes sociais</t>
        </is>
      </c>
      <c r="B12" s="13" t="inlineStr">
        <is>
          <t>Fraqueza</t>
        </is>
      </c>
      <c r="C12" s="14">
        <f>IF(B12="","",IF(OR(B12="Força",B12="Fraqueza"),"Interno","Externo"))</f>
        <v/>
      </c>
      <c r="D12" s="13" t="n">
        <v>3</v>
      </c>
      <c r="E12" s="13" t="n">
        <v>3</v>
      </c>
      <c r="F12" s="14">
        <f>IF(OR(B12="",D12="",E12=""),"",D12*E12)</f>
        <v/>
      </c>
      <c r="G12" s="14">
        <f>IF(F12="","",COUNTIFS($B$5:$B$44,B12,$F$5:$F$44,"&gt;"&amp;F12)+COUNTIFS($B$5:$B$44,B12,$F$5:$F$44,F12,$H$5:$H$44,"&lt;"&amp;H12)+1)</f>
        <v/>
      </c>
      <c r="H12" s="14" t="n">
        <v>8</v>
      </c>
      <c r="I12" s="14">
        <f>IF(G12="","",B12&amp;"-"&amp;G12)</f>
        <v/>
      </c>
    </row>
    <row r="13">
      <c r="A13" s="12" t="inlineStr">
        <is>
          <t>Novo condomínio com 400 famílias a 2 quadras</t>
        </is>
      </c>
      <c r="B13" s="13" t="inlineStr">
        <is>
          <t>Oportunidade</t>
        </is>
      </c>
      <c r="C13" s="14">
        <f>IF(B13="","",IF(OR(B13="Força",B13="Fraqueza"),"Interno","Externo"))</f>
        <v/>
      </c>
      <c r="D13" s="13" t="n">
        <v>5</v>
      </c>
      <c r="E13" s="13" t="n">
        <v>4</v>
      </c>
      <c r="F13" s="14">
        <f>IF(OR(B13="",D13="",E13=""),"",D13*E13)</f>
        <v/>
      </c>
      <c r="G13" s="14">
        <f>IF(F13="","",COUNTIFS($B$5:$B$44,B13,$F$5:$F$44,"&gt;"&amp;F13)+COUNTIFS($B$5:$B$44,B13,$F$5:$F$44,F13,$H$5:$H$44,"&lt;"&amp;H13)+1)</f>
        <v/>
      </c>
      <c r="H13" s="14" t="n">
        <v>9</v>
      </c>
      <c r="I13" s="14">
        <f>IF(G13="","",B13&amp;"-"&amp;G13)</f>
        <v/>
      </c>
    </row>
    <row r="14">
      <c r="A14" s="12" t="inlineStr">
        <is>
          <t>Clientes pedindo entrega pelo WhatsApp</t>
        </is>
      </c>
      <c r="B14" s="13" t="inlineStr">
        <is>
          <t>Oportunidade</t>
        </is>
      </c>
      <c r="C14" s="14">
        <f>IF(B14="","",IF(OR(B14="Força",B14="Fraqueza"),"Interno","Externo"))</f>
        <v/>
      </c>
      <c r="D14" s="13" t="n">
        <v>4</v>
      </c>
      <c r="E14" s="13" t="n">
        <v>5</v>
      </c>
      <c r="F14" s="14">
        <f>IF(OR(B14="",D14="",E14=""),"",D14*E14)</f>
        <v/>
      </c>
      <c r="G14" s="14">
        <f>IF(F14="","",COUNTIFS($B$5:$B$44,B14,$F$5:$F$44,"&gt;"&amp;F14)+COUNTIFS($B$5:$B$44,B14,$F$5:$F$44,F14,$H$5:$H$44,"&lt;"&amp;H14)+1)</f>
        <v/>
      </c>
      <c r="H14" s="14" t="n">
        <v>10</v>
      </c>
      <c r="I14" s="14">
        <f>IF(G14="","",B14&amp;"-"&amp;G14)</f>
        <v/>
      </c>
    </row>
    <row r="15">
      <c r="A15" s="12" t="inlineStr">
        <is>
          <t>Fornecedor regional oferecendo prazo maior</t>
        </is>
      </c>
      <c r="B15" s="13" t="inlineStr">
        <is>
          <t>Oportunidade</t>
        </is>
      </c>
      <c r="C15" s="14">
        <f>IF(B15="","",IF(OR(B15="Força",B15="Fraqueza"),"Interno","Externo"))</f>
        <v/>
      </c>
      <c r="D15" s="13" t="n">
        <v>3</v>
      </c>
      <c r="E15" s="13" t="n">
        <v>3</v>
      </c>
      <c r="F15" s="14">
        <f>IF(OR(B15="",D15="",E15=""),"",D15*E15)</f>
        <v/>
      </c>
      <c r="G15" s="14">
        <f>IF(F15="","",COUNTIFS($B$5:$B$44,B15,$F$5:$F$44,"&gt;"&amp;F15)+COUNTIFS($B$5:$B$44,B15,$F$5:$F$44,F15,$H$5:$H$44,"&lt;"&amp;H15)+1)</f>
        <v/>
      </c>
      <c r="H15" s="14" t="n">
        <v>11</v>
      </c>
      <c r="I15" s="14">
        <f>IF(G15="","",B15&amp;"-"&amp;G15)</f>
        <v/>
      </c>
    </row>
    <row r="16">
      <c r="A16" s="12" t="inlineStr">
        <is>
          <t>Rede de atacarejo abrindo a 3 km</t>
        </is>
      </c>
      <c r="B16" s="13" t="inlineStr">
        <is>
          <t>Ameaça</t>
        </is>
      </c>
      <c r="C16" s="14">
        <f>IF(B16="","",IF(OR(B16="Força",B16="Fraqueza"),"Interno","Externo"))</f>
        <v/>
      </c>
      <c r="D16" s="13" t="n">
        <v>5</v>
      </c>
      <c r="E16" s="13" t="n">
        <v>4</v>
      </c>
      <c r="F16" s="14">
        <f>IF(OR(B16="",D16="",E16=""),"",D16*E16)</f>
        <v/>
      </c>
      <c r="G16" s="14">
        <f>IF(F16="","",COUNTIFS($B$5:$B$44,B16,$F$5:$F$44,"&gt;"&amp;F16)+COUNTIFS($B$5:$B$44,B16,$F$5:$F$44,F16,$H$5:$H$44,"&lt;"&amp;H16)+1)</f>
        <v/>
      </c>
      <c r="H16" s="14" t="n">
        <v>12</v>
      </c>
      <c r="I16" s="14">
        <f>IF(G16="","",B16&amp;"-"&amp;G16)</f>
        <v/>
      </c>
    </row>
    <row r="17">
      <c r="A17" s="12" t="inlineStr">
        <is>
          <t>Alta do preço da farinha e da energia</t>
        </is>
      </c>
      <c r="B17" s="13" t="inlineStr">
        <is>
          <t>Ameaça</t>
        </is>
      </c>
      <c r="C17" s="14">
        <f>IF(B17="","",IF(OR(B17="Força",B17="Fraqueza"),"Interno","Externo"))</f>
        <v/>
      </c>
      <c r="D17" s="13" t="n">
        <v>4</v>
      </c>
      <c r="E17" s="13" t="n">
        <v>4</v>
      </c>
      <c r="F17" s="14">
        <f>IF(OR(B17="",D17="",E17=""),"",D17*E17)</f>
        <v/>
      </c>
      <c r="G17" s="14">
        <f>IF(F17="","",COUNTIFS($B$5:$B$44,B17,$F$5:$F$44,"&gt;"&amp;F17)+COUNTIFS($B$5:$B$44,B17,$F$5:$F$44,F17,$H$5:$H$44,"&lt;"&amp;H17)+1)</f>
        <v/>
      </c>
      <c r="H17" s="14" t="n">
        <v>13</v>
      </c>
      <c r="I17" s="14">
        <f>IF(G17="","",B17&amp;"-"&amp;G17)</f>
        <v/>
      </c>
    </row>
    <row r="18">
      <c r="A18" s="12" t="inlineStr">
        <is>
          <t>Aplicativos de entrega levando clientes</t>
        </is>
      </c>
      <c r="B18" s="13" t="inlineStr">
        <is>
          <t>Ameaça</t>
        </is>
      </c>
      <c r="C18" s="14">
        <f>IF(B18="","",IF(OR(B18="Força",B18="Fraqueza"),"Interno","Externo"))</f>
        <v/>
      </c>
      <c r="D18" s="13" t="n">
        <v>3</v>
      </c>
      <c r="E18" s="13" t="n">
        <v>3</v>
      </c>
      <c r="F18" s="14">
        <f>IF(OR(B18="",D18="",E18=""),"",D18*E18)</f>
        <v/>
      </c>
      <c r="G18" s="14">
        <f>IF(F18="","",COUNTIFS($B$5:$B$44,B18,$F$5:$F$44,"&gt;"&amp;F18)+COUNTIFS($B$5:$B$44,B18,$F$5:$F$44,F18,$H$5:$H$44,"&lt;"&amp;H18)+1)</f>
        <v/>
      </c>
      <c r="H18" s="14" t="n">
        <v>14</v>
      </c>
      <c r="I18" s="14">
        <f>IF(G18="","",B18&amp;"-"&amp;G18)</f>
        <v/>
      </c>
    </row>
    <row r="19">
      <c r="A19" s="12" t="n"/>
      <c r="B19" s="13" t="n"/>
      <c r="C19" s="14">
        <f>IF(B19="","",IF(OR(B19="Força",B19="Fraqueza"),"Interno","Externo"))</f>
        <v/>
      </c>
      <c r="D19" s="13" t="n"/>
      <c r="E19" s="13" t="n"/>
      <c r="F19" s="14">
        <f>IF(OR(B19="",D19="",E19=""),"",D19*E19)</f>
        <v/>
      </c>
      <c r="G19" s="14">
        <f>IF(F19="","",COUNTIFS($B$5:$B$44,B19,$F$5:$F$44,"&gt;"&amp;F19)+COUNTIFS($B$5:$B$44,B19,$F$5:$F$44,F19,$H$5:$H$44,"&lt;"&amp;H19)+1)</f>
        <v/>
      </c>
      <c r="H19" s="14" t="n">
        <v>15</v>
      </c>
      <c r="I19" s="14">
        <f>IF(G19="","",B19&amp;"-"&amp;G19)</f>
        <v/>
      </c>
    </row>
    <row r="20">
      <c r="A20" s="12" t="n"/>
      <c r="B20" s="13" t="n"/>
      <c r="C20" s="14">
        <f>IF(B20="","",IF(OR(B20="Força",B20="Fraqueza"),"Interno","Externo"))</f>
        <v/>
      </c>
      <c r="D20" s="13" t="n"/>
      <c r="E20" s="13" t="n"/>
      <c r="F20" s="14">
        <f>IF(OR(B20="",D20="",E20=""),"",D20*E20)</f>
        <v/>
      </c>
      <c r="G20" s="14">
        <f>IF(F20="","",COUNTIFS($B$5:$B$44,B20,$F$5:$F$44,"&gt;"&amp;F20)+COUNTIFS($B$5:$B$44,B20,$F$5:$F$44,F20,$H$5:$H$44,"&lt;"&amp;H20)+1)</f>
        <v/>
      </c>
      <c r="H20" s="14" t="n">
        <v>16</v>
      </c>
      <c r="I20" s="14">
        <f>IF(G20="","",B20&amp;"-"&amp;G20)</f>
        <v/>
      </c>
    </row>
    <row r="21">
      <c r="A21" s="12" t="n"/>
      <c r="B21" s="13" t="n"/>
      <c r="C21" s="14">
        <f>IF(B21="","",IF(OR(B21="Força",B21="Fraqueza"),"Interno","Externo"))</f>
        <v/>
      </c>
      <c r="D21" s="13" t="n"/>
      <c r="E21" s="13" t="n"/>
      <c r="F21" s="14">
        <f>IF(OR(B21="",D21="",E21=""),"",D21*E21)</f>
        <v/>
      </c>
      <c r="G21" s="14">
        <f>IF(F21="","",COUNTIFS($B$5:$B$44,B21,$F$5:$F$44,"&gt;"&amp;F21)+COUNTIFS($B$5:$B$44,B21,$F$5:$F$44,F21,$H$5:$H$44,"&lt;"&amp;H21)+1)</f>
        <v/>
      </c>
      <c r="H21" s="14" t="n">
        <v>17</v>
      </c>
      <c r="I21" s="14">
        <f>IF(G21="","",B21&amp;"-"&amp;G21)</f>
        <v/>
      </c>
    </row>
    <row r="22">
      <c r="A22" s="12" t="n"/>
      <c r="B22" s="13" t="n"/>
      <c r="C22" s="14">
        <f>IF(B22="","",IF(OR(B22="Força",B22="Fraqueza"),"Interno","Externo"))</f>
        <v/>
      </c>
      <c r="D22" s="13" t="n"/>
      <c r="E22" s="13" t="n"/>
      <c r="F22" s="14">
        <f>IF(OR(B22="",D22="",E22=""),"",D22*E22)</f>
        <v/>
      </c>
      <c r="G22" s="14">
        <f>IF(F22="","",COUNTIFS($B$5:$B$44,B22,$F$5:$F$44,"&gt;"&amp;F22)+COUNTIFS($B$5:$B$44,B22,$F$5:$F$44,F22,$H$5:$H$44,"&lt;"&amp;H22)+1)</f>
        <v/>
      </c>
      <c r="H22" s="14" t="n">
        <v>18</v>
      </c>
      <c r="I22" s="14">
        <f>IF(G22="","",B22&amp;"-"&amp;G22)</f>
        <v/>
      </c>
    </row>
    <row r="23">
      <c r="A23" s="12" t="n"/>
      <c r="B23" s="13" t="n"/>
      <c r="C23" s="14">
        <f>IF(B23="","",IF(OR(B23="Força",B23="Fraqueza"),"Interno","Externo"))</f>
        <v/>
      </c>
      <c r="D23" s="13" t="n"/>
      <c r="E23" s="13" t="n"/>
      <c r="F23" s="14">
        <f>IF(OR(B23="",D23="",E23=""),"",D23*E23)</f>
        <v/>
      </c>
      <c r="G23" s="14">
        <f>IF(F23="","",COUNTIFS($B$5:$B$44,B23,$F$5:$F$44,"&gt;"&amp;F23)+COUNTIFS($B$5:$B$44,B23,$F$5:$F$44,F23,$H$5:$H$44,"&lt;"&amp;H23)+1)</f>
        <v/>
      </c>
      <c r="H23" s="14" t="n">
        <v>19</v>
      </c>
      <c r="I23" s="14">
        <f>IF(G23="","",B23&amp;"-"&amp;G23)</f>
        <v/>
      </c>
    </row>
    <row r="24">
      <c r="A24" s="12" t="n"/>
      <c r="B24" s="13" t="n"/>
      <c r="C24" s="14">
        <f>IF(B24="","",IF(OR(B24="Força",B24="Fraqueza"),"Interno","Externo"))</f>
        <v/>
      </c>
      <c r="D24" s="13" t="n"/>
      <c r="E24" s="13" t="n"/>
      <c r="F24" s="14">
        <f>IF(OR(B24="",D24="",E24=""),"",D24*E24)</f>
        <v/>
      </c>
      <c r="G24" s="14">
        <f>IF(F24="","",COUNTIFS($B$5:$B$44,B24,$F$5:$F$44,"&gt;"&amp;F24)+COUNTIFS($B$5:$B$44,B24,$F$5:$F$44,F24,$H$5:$H$44,"&lt;"&amp;H24)+1)</f>
        <v/>
      </c>
      <c r="H24" s="14" t="n">
        <v>20</v>
      </c>
      <c r="I24" s="14">
        <f>IF(G24="","",B24&amp;"-"&amp;G24)</f>
        <v/>
      </c>
    </row>
    <row r="25">
      <c r="A25" s="12" t="n"/>
      <c r="B25" s="13" t="n"/>
      <c r="C25" s="14">
        <f>IF(B25="","",IF(OR(B25="Força",B25="Fraqueza"),"Interno","Externo"))</f>
        <v/>
      </c>
      <c r="D25" s="13" t="n"/>
      <c r="E25" s="13" t="n"/>
      <c r="F25" s="14">
        <f>IF(OR(B25="",D25="",E25=""),"",D25*E25)</f>
        <v/>
      </c>
      <c r="G25" s="14">
        <f>IF(F25="","",COUNTIFS($B$5:$B$44,B25,$F$5:$F$44,"&gt;"&amp;F25)+COUNTIFS($B$5:$B$44,B25,$F$5:$F$44,F25,$H$5:$H$44,"&lt;"&amp;H25)+1)</f>
        <v/>
      </c>
      <c r="H25" s="14" t="n">
        <v>21</v>
      </c>
      <c r="I25" s="14">
        <f>IF(G25="","",B25&amp;"-"&amp;G25)</f>
        <v/>
      </c>
    </row>
    <row r="26">
      <c r="A26" s="12" t="n"/>
      <c r="B26" s="13" t="n"/>
      <c r="C26" s="14">
        <f>IF(B26="","",IF(OR(B26="Força",B26="Fraqueza"),"Interno","Externo"))</f>
        <v/>
      </c>
      <c r="D26" s="13" t="n"/>
      <c r="E26" s="13" t="n"/>
      <c r="F26" s="14">
        <f>IF(OR(B26="",D26="",E26=""),"",D26*E26)</f>
        <v/>
      </c>
      <c r="G26" s="14">
        <f>IF(F26="","",COUNTIFS($B$5:$B$44,B26,$F$5:$F$44,"&gt;"&amp;F26)+COUNTIFS($B$5:$B$44,B26,$F$5:$F$44,F26,$H$5:$H$44,"&lt;"&amp;H26)+1)</f>
        <v/>
      </c>
      <c r="H26" s="14" t="n">
        <v>22</v>
      </c>
      <c r="I26" s="14">
        <f>IF(G26="","",B26&amp;"-"&amp;G26)</f>
        <v/>
      </c>
    </row>
    <row r="27">
      <c r="A27" s="12" t="n"/>
      <c r="B27" s="13" t="n"/>
      <c r="C27" s="14">
        <f>IF(B27="","",IF(OR(B27="Força",B27="Fraqueza"),"Interno","Externo"))</f>
        <v/>
      </c>
      <c r="D27" s="13" t="n"/>
      <c r="E27" s="13" t="n"/>
      <c r="F27" s="14">
        <f>IF(OR(B27="",D27="",E27=""),"",D27*E27)</f>
        <v/>
      </c>
      <c r="G27" s="14">
        <f>IF(F27="","",COUNTIFS($B$5:$B$44,B27,$F$5:$F$44,"&gt;"&amp;F27)+COUNTIFS($B$5:$B$44,B27,$F$5:$F$44,F27,$H$5:$H$44,"&lt;"&amp;H27)+1)</f>
        <v/>
      </c>
      <c r="H27" s="14" t="n">
        <v>23</v>
      </c>
      <c r="I27" s="14">
        <f>IF(G27="","",B27&amp;"-"&amp;G27)</f>
        <v/>
      </c>
    </row>
    <row r="28">
      <c r="A28" s="12" t="n"/>
      <c r="B28" s="13" t="n"/>
      <c r="C28" s="14">
        <f>IF(B28="","",IF(OR(B28="Força",B28="Fraqueza"),"Interno","Externo"))</f>
        <v/>
      </c>
      <c r="D28" s="13" t="n"/>
      <c r="E28" s="13" t="n"/>
      <c r="F28" s="14">
        <f>IF(OR(B28="",D28="",E28=""),"",D28*E28)</f>
        <v/>
      </c>
      <c r="G28" s="14">
        <f>IF(F28="","",COUNTIFS($B$5:$B$44,B28,$F$5:$F$44,"&gt;"&amp;F28)+COUNTIFS($B$5:$B$44,B28,$F$5:$F$44,F28,$H$5:$H$44,"&lt;"&amp;H28)+1)</f>
        <v/>
      </c>
      <c r="H28" s="14" t="n">
        <v>24</v>
      </c>
      <c r="I28" s="14">
        <f>IF(G28="","",B28&amp;"-"&amp;G28)</f>
        <v/>
      </c>
    </row>
    <row r="29">
      <c r="A29" s="12" t="n"/>
      <c r="B29" s="13" t="n"/>
      <c r="C29" s="14">
        <f>IF(B29="","",IF(OR(B29="Força",B29="Fraqueza"),"Interno","Externo"))</f>
        <v/>
      </c>
      <c r="D29" s="13" t="n"/>
      <c r="E29" s="13" t="n"/>
      <c r="F29" s="14">
        <f>IF(OR(B29="",D29="",E29=""),"",D29*E29)</f>
        <v/>
      </c>
      <c r="G29" s="14">
        <f>IF(F29="","",COUNTIFS($B$5:$B$44,B29,$F$5:$F$44,"&gt;"&amp;F29)+COUNTIFS($B$5:$B$44,B29,$F$5:$F$44,F29,$H$5:$H$44,"&lt;"&amp;H29)+1)</f>
        <v/>
      </c>
      <c r="H29" s="14" t="n">
        <v>25</v>
      </c>
      <c r="I29" s="14">
        <f>IF(G29="","",B29&amp;"-"&amp;G29)</f>
        <v/>
      </c>
    </row>
    <row r="30">
      <c r="A30" s="12" t="n"/>
      <c r="B30" s="13" t="n"/>
      <c r="C30" s="14">
        <f>IF(B30="","",IF(OR(B30="Força",B30="Fraqueza"),"Interno","Externo"))</f>
        <v/>
      </c>
      <c r="D30" s="13" t="n"/>
      <c r="E30" s="13" t="n"/>
      <c r="F30" s="14">
        <f>IF(OR(B30="",D30="",E30=""),"",D30*E30)</f>
        <v/>
      </c>
      <c r="G30" s="14">
        <f>IF(F30="","",COUNTIFS($B$5:$B$44,B30,$F$5:$F$44,"&gt;"&amp;F30)+COUNTIFS($B$5:$B$44,B30,$F$5:$F$44,F30,$H$5:$H$44,"&lt;"&amp;H30)+1)</f>
        <v/>
      </c>
      <c r="H30" s="14" t="n">
        <v>26</v>
      </c>
      <c r="I30" s="14">
        <f>IF(G30="","",B30&amp;"-"&amp;G30)</f>
        <v/>
      </c>
    </row>
    <row r="31">
      <c r="A31" s="12" t="n"/>
      <c r="B31" s="13" t="n"/>
      <c r="C31" s="14">
        <f>IF(B31="","",IF(OR(B31="Força",B31="Fraqueza"),"Interno","Externo"))</f>
        <v/>
      </c>
      <c r="D31" s="13" t="n"/>
      <c r="E31" s="13" t="n"/>
      <c r="F31" s="14">
        <f>IF(OR(B31="",D31="",E31=""),"",D31*E31)</f>
        <v/>
      </c>
      <c r="G31" s="14">
        <f>IF(F31="","",COUNTIFS($B$5:$B$44,B31,$F$5:$F$44,"&gt;"&amp;F31)+COUNTIFS($B$5:$B$44,B31,$F$5:$F$44,F31,$H$5:$H$44,"&lt;"&amp;H31)+1)</f>
        <v/>
      </c>
      <c r="H31" s="14" t="n">
        <v>27</v>
      </c>
      <c r="I31" s="14">
        <f>IF(G31="","",B31&amp;"-"&amp;G31)</f>
        <v/>
      </c>
    </row>
    <row r="32">
      <c r="A32" s="12" t="n"/>
      <c r="B32" s="13" t="n"/>
      <c r="C32" s="14">
        <f>IF(B32="","",IF(OR(B32="Força",B32="Fraqueza"),"Interno","Externo"))</f>
        <v/>
      </c>
      <c r="D32" s="13" t="n"/>
      <c r="E32" s="13" t="n"/>
      <c r="F32" s="14">
        <f>IF(OR(B32="",D32="",E32=""),"",D32*E32)</f>
        <v/>
      </c>
      <c r="G32" s="14">
        <f>IF(F32="","",COUNTIFS($B$5:$B$44,B32,$F$5:$F$44,"&gt;"&amp;F32)+COUNTIFS($B$5:$B$44,B32,$F$5:$F$44,F32,$H$5:$H$44,"&lt;"&amp;H32)+1)</f>
        <v/>
      </c>
      <c r="H32" s="14" t="n">
        <v>28</v>
      </c>
      <c r="I32" s="14">
        <f>IF(G32="","",B32&amp;"-"&amp;G32)</f>
        <v/>
      </c>
    </row>
    <row r="33">
      <c r="A33" s="12" t="n"/>
      <c r="B33" s="13" t="n"/>
      <c r="C33" s="14">
        <f>IF(B33="","",IF(OR(B33="Força",B33="Fraqueza"),"Interno","Externo"))</f>
        <v/>
      </c>
      <c r="D33" s="13" t="n"/>
      <c r="E33" s="13" t="n"/>
      <c r="F33" s="14">
        <f>IF(OR(B33="",D33="",E33=""),"",D33*E33)</f>
        <v/>
      </c>
      <c r="G33" s="14">
        <f>IF(F33="","",COUNTIFS($B$5:$B$44,B33,$F$5:$F$44,"&gt;"&amp;F33)+COUNTIFS($B$5:$B$44,B33,$F$5:$F$44,F33,$H$5:$H$44,"&lt;"&amp;H33)+1)</f>
        <v/>
      </c>
      <c r="H33" s="14" t="n">
        <v>29</v>
      </c>
      <c r="I33" s="14">
        <f>IF(G33="","",B33&amp;"-"&amp;G33)</f>
        <v/>
      </c>
    </row>
    <row r="34">
      <c r="A34" s="12" t="n"/>
      <c r="B34" s="13" t="n"/>
      <c r="C34" s="14">
        <f>IF(B34="","",IF(OR(B34="Força",B34="Fraqueza"),"Interno","Externo"))</f>
        <v/>
      </c>
      <c r="D34" s="13" t="n"/>
      <c r="E34" s="13" t="n"/>
      <c r="F34" s="14">
        <f>IF(OR(B34="",D34="",E34=""),"",D34*E34)</f>
        <v/>
      </c>
      <c r="G34" s="14">
        <f>IF(F34="","",COUNTIFS($B$5:$B$44,B34,$F$5:$F$44,"&gt;"&amp;F34)+COUNTIFS($B$5:$B$44,B34,$F$5:$F$44,F34,$H$5:$H$44,"&lt;"&amp;H34)+1)</f>
        <v/>
      </c>
      <c r="H34" s="14" t="n">
        <v>30</v>
      </c>
      <c r="I34" s="14">
        <f>IF(G34="","",B34&amp;"-"&amp;G34)</f>
        <v/>
      </c>
    </row>
    <row r="35">
      <c r="A35" s="12" t="n"/>
      <c r="B35" s="13" t="n"/>
      <c r="C35" s="14">
        <f>IF(B35="","",IF(OR(B35="Força",B35="Fraqueza"),"Interno","Externo"))</f>
        <v/>
      </c>
      <c r="D35" s="13" t="n"/>
      <c r="E35" s="13" t="n"/>
      <c r="F35" s="14">
        <f>IF(OR(B35="",D35="",E35=""),"",D35*E35)</f>
        <v/>
      </c>
      <c r="G35" s="14">
        <f>IF(F35="","",COUNTIFS($B$5:$B$44,B35,$F$5:$F$44,"&gt;"&amp;F35)+COUNTIFS($B$5:$B$44,B35,$F$5:$F$44,F35,$H$5:$H$44,"&lt;"&amp;H35)+1)</f>
        <v/>
      </c>
      <c r="H35" s="14" t="n">
        <v>31</v>
      </c>
      <c r="I35" s="14">
        <f>IF(G35="","",B35&amp;"-"&amp;G35)</f>
        <v/>
      </c>
    </row>
    <row r="36">
      <c r="A36" s="12" t="n"/>
      <c r="B36" s="13" t="n"/>
      <c r="C36" s="14">
        <f>IF(B36="","",IF(OR(B36="Força",B36="Fraqueza"),"Interno","Externo"))</f>
        <v/>
      </c>
      <c r="D36" s="13" t="n"/>
      <c r="E36" s="13" t="n"/>
      <c r="F36" s="14">
        <f>IF(OR(B36="",D36="",E36=""),"",D36*E36)</f>
        <v/>
      </c>
      <c r="G36" s="14">
        <f>IF(F36="","",COUNTIFS($B$5:$B$44,B36,$F$5:$F$44,"&gt;"&amp;F36)+COUNTIFS($B$5:$B$44,B36,$F$5:$F$44,F36,$H$5:$H$44,"&lt;"&amp;H36)+1)</f>
        <v/>
      </c>
      <c r="H36" s="14" t="n">
        <v>32</v>
      </c>
      <c r="I36" s="14">
        <f>IF(G36="","",B36&amp;"-"&amp;G36)</f>
        <v/>
      </c>
    </row>
    <row r="37">
      <c r="A37" s="12" t="n"/>
      <c r="B37" s="13" t="n"/>
      <c r="C37" s="14">
        <f>IF(B37="","",IF(OR(B37="Força",B37="Fraqueza"),"Interno","Externo"))</f>
        <v/>
      </c>
      <c r="D37" s="13" t="n"/>
      <c r="E37" s="13" t="n"/>
      <c r="F37" s="14">
        <f>IF(OR(B37="",D37="",E37=""),"",D37*E37)</f>
        <v/>
      </c>
      <c r="G37" s="14">
        <f>IF(F37="","",COUNTIFS($B$5:$B$44,B37,$F$5:$F$44,"&gt;"&amp;F37)+COUNTIFS($B$5:$B$44,B37,$F$5:$F$44,F37,$H$5:$H$44,"&lt;"&amp;H37)+1)</f>
        <v/>
      </c>
      <c r="H37" s="14" t="n">
        <v>33</v>
      </c>
      <c r="I37" s="14">
        <f>IF(G37="","",B37&amp;"-"&amp;G37)</f>
        <v/>
      </c>
    </row>
    <row r="38">
      <c r="A38" s="12" t="n"/>
      <c r="B38" s="13" t="n"/>
      <c r="C38" s="14">
        <f>IF(B38="","",IF(OR(B38="Força",B38="Fraqueza"),"Interno","Externo"))</f>
        <v/>
      </c>
      <c r="D38" s="13" t="n"/>
      <c r="E38" s="13" t="n"/>
      <c r="F38" s="14">
        <f>IF(OR(B38="",D38="",E38=""),"",D38*E38)</f>
        <v/>
      </c>
      <c r="G38" s="14">
        <f>IF(F38="","",COUNTIFS($B$5:$B$44,B38,$F$5:$F$44,"&gt;"&amp;F38)+COUNTIFS($B$5:$B$44,B38,$F$5:$F$44,F38,$H$5:$H$44,"&lt;"&amp;H38)+1)</f>
        <v/>
      </c>
      <c r="H38" s="14" t="n">
        <v>34</v>
      </c>
      <c r="I38" s="14">
        <f>IF(G38="","",B38&amp;"-"&amp;G38)</f>
        <v/>
      </c>
    </row>
    <row r="39">
      <c r="A39" s="12" t="n"/>
      <c r="B39" s="13" t="n"/>
      <c r="C39" s="14">
        <f>IF(B39="","",IF(OR(B39="Força",B39="Fraqueza"),"Interno","Externo"))</f>
        <v/>
      </c>
      <c r="D39" s="13" t="n"/>
      <c r="E39" s="13" t="n"/>
      <c r="F39" s="14">
        <f>IF(OR(B39="",D39="",E39=""),"",D39*E39)</f>
        <v/>
      </c>
      <c r="G39" s="14">
        <f>IF(F39="","",COUNTIFS($B$5:$B$44,B39,$F$5:$F$44,"&gt;"&amp;F39)+COUNTIFS($B$5:$B$44,B39,$F$5:$F$44,F39,$H$5:$H$44,"&lt;"&amp;H39)+1)</f>
        <v/>
      </c>
      <c r="H39" s="14" t="n">
        <v>35</v>
      </c>
      <c r="I39" s="14">
        <f>IF(G39="","",B39&amp;"-"&amp;G39)</f>
        <v/>
      </c>
    </row>
    <row r="40">
      <c r="A40" s="12" t="n"/>
      <c r="B40" s="13" t="n"/>
      <c r="C40" s="14">
        <f>IF(B40="","",IF(OR(B40="Força",B40="Fraqueza"),"Interno","Externo"))</f>
        <v/>
      </c>
      <c r="D40" s="13" t="n"/>
      <c r="E40" s="13" t="n"/>
      <c r="F40" s="14">
        <f>IF(OR(B40="",D40="",E40=""),"",D40*E40)</f>
        <v/>
      </c>
      <c r="G40" s="14">
        <f>IF(F40="","",COUNTIFS($B$5:$B$44,B40,$F$5:$F$44,"&gt;"&amp;F40)+COUNTIFS($B$5:$B$44,B40,$F$5:$F$44,F40,$H$5:$H$44,"&lt;"&amp;H40)+1)</f>
        <v/>
      </c>
      <c r="H40" s="14" t="n">
        <v>36</v>
      </c>
      <c r="I40" s="14">
        <f>IF(G40="","",B40&amp;"-"&amp;G40)</f>
        <v/>
      </c>
    </row>
    <row r="41">
      <c r="A41" s="12" t="n"/>
      <c r="B41" s="13" t="n"/>
      <c r="C41" s="14">
        <f>IF(B41="","",IF(OR(B41="Força",B41="Fraqueza"),"Interno","Externo"))</f>
        <v/>
      </c>
      <c r="D41" s="13" t="n"/>
      <c r="E41" s="13" t="n"/>
      <c r="F41" s="14">
        <f>IF(OR(B41="",D41="",E41=""),"",D41*E41)</f>
        <v/>
      </c>
      <c r="G41" s="14">
        <f>IF(F41="","",COUNTIFS($B$5:$B$44,B41,$F$5:$F$44,"&gt;"&amp;F41)+COUNTIFS($B$5:$B$44,B41,$F$5:$F$44,F41,$H$5:$H$44,"&lt;"&amp;H41)+1)</f>
        <v/>
      </c>
      <c r="H41" s="14" t="n">
        <v>37</v>
      </c>
      <c r="I41" s="14">
        <f>IF(G41="","",B41&amp;"-"&amp;G41)</f>
        <v/>
      </c>
    </row>
    <row r="42">
      <c r="A42" s="12" t="n"/>
      <c r="B42" s="13" t="n"/>
      <c r="C42" s="14">
        <f>IF(B42="","",IF(OR(B42="Força",B42="Fraqueza"),"Interno","Externo"))</f>
        <v/>
      </c>
      <c r="D42" s="13" t="n"/>
      <c r="E42" s="13" t="n"/>
      <c r="F42" s="14">
        <f>IF(OR(B42="",D42="",E42=""),"",D42*E42)</f>
        <v/>
      </c>
      <c r="G42" s="14">
        <f>IF(F42="","",COUNTIFS($B$5:$B$44,B42,$F$5:$F$44,"&gt;"&amp;F42)+COUNTIFS($B$5:$B$44,B42,$F$5:$F$44,F42,$H$5:$H$44,"&lt;"&amp;H42)+1)</f>
        <v/>
      </c>
      <c r="H42" s="14" t="n">
        <v>38</v>
      </c>
      <c r="I42" s="14">
        <f>IF(G42="","",B42&amp;"-"&amp;G42)</f>
        <v/>
      </c>
    </row>
    <row r="43">
      <c r="A43" s="12" t="n"/>
      <c r="B43" s="13" t="n"/>
      <c r="C43" s="14">
        <f>IF(B43="","",IF(OR(B43="Força",B43="Fraqueza"),"Interno","Externo"))</f>
        <v/>
      </c>
      <c r="D43" s="13" t="n"/>
      <c r="E43" s="13" t="n"/>
      <c r="F43" s="14">
        <f>IF(OR(B43="",D43="",E43=""),"",D43*E43)</f>
        <v/>
      </c>
      <c r="G43" s="14">
        <f>IF(F43="","",COUNTIFS($B$5:$B$44,B43,$F$5:$F$44,"&gt;"&amp;F43)+COUNTIFS($B$5:$B$44,B43,$F$5:$F$44,F43,$H$5:$H$44,"&lt;"&amp;H43)+1)</f>
        <v/>
      </c>
      <c r="H43" s="14" t="n">
        <v>39</v>
      </c>
      <c r="I43" s="14">
        <f>IF(G43="","",B43&amp;"-"&amp;G43)</f>
        <v/>
      </c>
    </row>
    <row r="44">
      <c r="A44" s="12" t="n"/>
      <c r="B44" s="13" t="n"/>
      <c r="C44" s="14">
        <f>IF(B44="","",IF(OR(B44="Força",B44="Fraqueza"),"Interno","Externo"))</f>
        <v/>
      </c>
      <c r="D44" s="13" t="n"/>
      <c r="E44" s="13" t="n"/>
      <c r="F44" s="14">
        <f>IF(OR(B44="",D44="",E44=""),"",D44*E44)</f>
        <v/>
      </c>
      <c r="G44" s="14">
        <f>IF(F44="","",COUNTIFS($B$5:$B$44,B44,$F$5:$F$44,"&gt;"&amp;F44)+COUNTIFS($B$5:$B$44,B44,$F$5:$F$44,F44,$H$5:$H$44,"&lt;"&amp;H44)+1)</f>
        <v/>
      </c>
      <c r="H44" s="14" t="n">
        <v>40</v>
      </c>
      <c r="I44" s="14">
        <f>IF(G44="","",B44&amp;"-"&amp;G44)</f>
        <v/>
      </c>
    </row>
  </sheetData>
  <mergeCells count="2">
    <mergeCell ref="A2:G2"/>
    <mergeCell ref="A1:G1"/>
  </mergeCells>
  <conditionalFormatting sqref="B5:B44">
    <cfRule type="cellIs" priority="1" operator="equal" dxfId="0">
      <formula>"Força"</formula>
    </cfRule>
    <cfRule type="cellIs" priority="2" operator="equal" dxfId="1">
      <formula>"Oportunidade"</formula>
    </cfRule>
    <cfRule type="cellIs" priority="3" operator="equal" dxfId="2">
      <formula>"Fraqueza"</formula>
    </cfRule>
    <cfRule type="cellIs" priority="4" operator="equal" dxfId="3">
      <formula>"Ameaça"</formula>
    </cfRule>
  </conditionalFormatting>
  <dataValidations count="2">
    <dataValidation sqref="B5:B44" showDropDown="0" showInputMessage="0" showErrorMessage="0" allowBlank="1" errorTitle="Valor fora da lista" error="Escolha Força, Fraqueza, Oportunidade ou Ameaça." type="list">
      <formula1>"Força,Fraqueza,Oportunidade,Ameaça"</formula1>
    </dataValidation>
    <dataValidation sqref="D5:E44" showDropDown="0" showInputMessage="0" showErrorMessage="0" allowBlank="0" errorTitle="Nota inválida" error="Digite um número inteiro de 1 a 5." type="whole" operator="between">
      <formula1>1</formula1>
      <formula2>5</formula2>
    </dataValidation>
  </dataValidations>
  <pageMargins left="0.75" right="0.75" top="1" bottom="1" header="0.5" footer="0.5"/>
  <pageSetup orientation="landscape" paperSize="9" fitToHeight="0" fitToWidth="1"/>
  <headerFooter>
    <oddHeader/>
    <oddFooter>&amp;C&amp;8 Jonatas Magalhães  |  jonatasmag.github.io  | 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6" customWidth="1" min="3" max="3"/>
    <col width="52" customWidth="1" min="4" max="4"/>
  </cols>
  <sheetData>
    <row r="1" ht="22" customHeight="1">
      <c r="A1" s="1" t="inlineStr">
        <is>
          <t>Jonatas Magalhães  |  Consultoria em Dados, Processos e Operações</t>
        </is>
      </c>
      <c r="B1" s="2" t="n"/>
      <c r="C1" s="2" t="n"/>
      <c r="D1" s="2" t="n"/>
    </row>
    <row r="2" ht="30" customHeight="1">
      <c r="A2" s="3" t="inlineStr">
        <is>
          <t>Matriz SWOT (FOFA)  —  os 5 fatores mais importantes de cada quadrante</t>
        </is>
      </c>
      <c r="B2" s="4" t="n"/>
      <c r="C2" s="4" t="n"/>
      <c r="D2" s="4" t="n"/>
    </row>
    <row r="4" ht="24" customHeight="1">
      <c r="A4" s="15" t="inlineStr">
        <is>
          <t>FORÇAS (internas, ajudam)</t>
        </is>
      </c>
      <c r="C4" s="16" t="inlineStr">
        <is>
          <t>FRAQUEZAS (internas, atrapalham)</t>
        </is>
      </c>
    </row>
    <row r="5" ht="30" customHeight="1">
      <c r="A5" s="17" t="n">
        <v>1</v>
      </c>
      <c r="B5" s="18">
        <f>IFERROR(INDEX(Levantamento!$A$5:$A$44,MATCH("Força-1",Levantamento!$I$5:$I$44,0))&amp;"  ("&amp;INDEX(Levantamento!$F$5:$F$44,MATCH("Força-1",Levantamento!$I$5:$I$44,0))&amp;")","")</f>
        <v/>
      </c>
      <c r="C5" s="19" t="n">
        <v>1</v>
      </c>
      <c r="D5" s="18">
        <f>IFERROR(INDEX(Levantamento!$A$5:$A$44,MATCH("Fraqueza-1",Levantamento!$I$5:$I$44,0))&amp;"  ("&amp;INDEX(Levantamento!$F$5:$F$44,MATCH("Fraqueza-1",Levantamento!$I$5:$I$44,0))&amp;")","")</f>
        <v/>
      </c>
    </row>
    <row r="6" ht="30" customHeight="1">
      <c r="A6" s="17" t="n">
        <v>2</v>
      </c>
      <c r="B6" s="18">
        <f>IFERROR(INDEX(Levantamento!$A$5:$A$44,MATCH("Força-2",Levantamento!$I$5:$I$44,0))&amp;"  ("&amp;INDEX(Levantamento!$F$5:$F$44,MATCH("Força-2",Levantamento!$I$5:$I$44,0))&amp;")","")</f>
        <v/>
      </c>
      <c r="C6" s="19" t="n">
        <v>2</v>
      </c>
      <c r="D6" s="18">
        <f>IFERROR(INDEX(Levantamento!$A$5:$A$44,MATCH("Fraqueza-2",Levantamento!$I$5:$I$44,0))&amp;"  ("&amp;INDEX(Levantamento!$F$5:$F$44,MATCH("Fraqueza-2",Levantamento!$I$5:$I$44,0))&amp;")","")</f>
        <v/>
      </c>
    </row>
    <row r="7" ht="30" customHeight="1">
      <c r="A7" s="17" t="n">
        <v>3</v>
      </c>
      <c r="B7" s="18">
        <f>IFERROR(INDEX(Levantamento!$A$5:$A$44,MATCH("Força-3",Levantamento!$I$5:$I$44,0))&amp;"  ("&amp;INDEX(Levantamento!$F$5:$F$44,MATCH("Força-3",Levantamento!$I$5:$I$44,0))&amp;")","")</f>
        <v/>
      </c>
      <c r="C7" s="19" t="n">
        <v>3</v>
      </c>
      <c r="D7" s="18">
        <f>IFERROR(INDEX(Levantamento!$A$5:$A$44,MATCH("Fraqueza-3",Levantamento!$I$5:$I$44,0))&amp;"  ("&amp;INDEX(Levantamento!$F$5:$F$44,MATCH("Fraqueza-3",Levantamento!$I$5:$I$44,0))&amp;")","")</f>
        <v/>
      </c>
    </row>
    <row r="8" ht="30" customHeight="1">
      <c r="A8" s="17" t="n">
        <v>4</v>
      </c>
      <c r="B8" s="18">
        <f>IFERROR(INDEX(Levantamento!$A$5:$A$44,MATCH("Força-4",Levantamento!$I$5:$I$44,0))&amp;"  ("&amp;INDEX(Levantamento!$F$5:$F$44,MATCH("Força-4",Levantamento!$I$5:$I$44,0))&amp;")","")</f>
        <v/>
      </c>
      <c r="C8" s="19" t="n">
        <v>4</v>
      </c>
      <c r="D8" s="18">
        <f>IFERROR(INDEX(Levantamento!$A$5:$A$44,MATCH("Fraqueza-4",Levantamento!$I$5:$I$44,0))&amp;"  ("&amp;INDEX(Levantamento!$F$5:$F$44,MATCH("Fraqueza-4",Levantamento!$I$5:$I$44,0))&amp;")","")</f>
        <v/>
      </c>
    </row>
    <row r="9" ht="30" customHeight="1">
      <c r="A9" s="17" t="n">
        <v>5</v>
      </c>
      <c r="B9" s="18">
        <f>IFERROR(INDEX(Levantamento!$A$5:$A$44,MATCH("Força-5",Levantamento!$I$5:$I$44,0))&amp;"  ("&amp;INDEX(Levantamento!$F$5:$F$44,MATCH("Força-5",Levantamento!$I$5:$I$44,0))&amp;")","")</f>
        <v/>
      </c>
      <c r="C9" s="19" t="n">
        <v>5</v>
      </c>
      <c r="D9" s="18">
        <f>IFERROR(INDEX(Levantamento!$A$5:$A$44,MATCH("Fraqueza-5",Levantamento!$I$5:$I$44,0))&amp;"  ("&amp;INDEX(Levantamento!$F$5:$F$44,MATCH("Fraqueza-5",Levantamento!$I$5:$I$44,0))&amp;")","")</f>
        <v/>
      </c>
    </row>
    <row r="12" ht="24" customHeight="1">
      <c r="A12" s="20" t="inlineStr">
        <is>
          <t>OPORTUNIDADES (externas, ajudam)</t>
        </is>
      </c>
      <c r="C12" s="21" t="inlineStr">
        <is>
          <t>AMEAÇAS (externas, atrapalham)</t>
        </is>
      </c>
    </row>
    <row r="13" ht="30" customHeight="1">
      <c r="A13" s="22" t="n">
        <v>1</v>
      </c>
      <c r="B13" s="18">
        <f>IFERROR(INDEX(Levantamento!$A$5:$A$44,MATCH("Oportunidade-1",Levantamento!$I$5:$I$44,0))&amp;"  ("&amp;INDEX(Levantamento!$F$5:$F$44,MATCH("Oportunidade-1",Levantamento!$I$5:$I$44,0))&amp;")","")</f>
        <v/>
      </c>
      <c r="C13" s="23" t="n">
        <v>1</v>
      </c>
      <c r="D13" s="18">
        <f>IFERROR(INDEX(Levantamento!$A$5:$A$44,MATCH("Ameaça-1",Levantamento!$I$5:$I$44,0))&amp;"  ("&amp;INDEX(Levantamento!$F$5:$F$44,MATCH("Ameaça-1",Levantamento!$I$5:$I$44,0))&amp;")","")</f>
        <v/>
      </c>
    </row>
    <row r="14" ht="30" customHeight="1">
      <c r="A14" s="22" t="n">
        <v>2</v>
      </c>
      <c r="B14" s="18">
        <f>IFERROR(INDEX(Levantamento!$A$5:$A$44,MATCH("Oportunidade-2",Levantamento!$I$5:$I$44,0))&amp;"  ("&amp;INDEX(Levantamento!$F$5:$F$44,MATCH("Oportunidade-2",Levantamento!$I$5:$I$44,0))&amp;")","")</f>
        <v/>
      </c>
      <c r="C14" s="23" t="n">
        <v>2</v>
      </c>
      <c r="D14" s="18">
        <f>IFERROR(INDEX(Levantamento!$A$5:$A$44,MATCH("Ameaça-2",Levantamento!$I$5:$I$44,0))&amp;"  ("&amp;INDEX(Levantamento!$F$5:$F$44,MATCH("Ameaça-2",Levantamento!$I$5:$I$44,0))&amp;")","")</f>
        <v/>
      </c>
    </row>
    <row r="15" ht="30" customHeight="1">
      <c r="A15" s="22" t="n">
        <v>3</v>
      </c>
      <c r="B15" s="18">
        <f>IFERROR(INDEX(Levantamento!$A$5:$A$44,MATCH("Oportunidade-3",Levantamento!$I$5:$I$44,0))&amp;"  ("&amp;INDEX(Levantamento!$F$5:$F$44,MATCH("Oportunidade-3",Levantamento!$I$5:$I$44,0))&amp;")","")</f>
        <v/>
      </c>
      <c r="C15" s="23" t="n">
        <v>3</v>
      </c>
      <c r="D15" s="18">
        <f>IFERROR(INDEX(Levantamento!$A$5:$A$44,MATCH("Ameaça-3",Levantamento!$I$5:$I$44,0))&amp;"  ("&amp;INDEX(Levantamento!$F$5:$F$44,MATCH("Ameaça-3",Levantamento!$I$5:$I$44,0))&amp;")","")</f>
        <v/>
      </c>
    </row>
    <row r="16" ht="30" customHeight="1">
      <c r="A16" s="22" t="n">
        <v>4</v>
      </c>
      <c r="B16" s="18">
        <f>IFERROR(INDEX(Levantamento!$A$5:$A$44,MATCH("Oportunidade-4",Levantamento!$I$5:$I$44,0))&amp;"  ("&amp;INDEX(Levantamento!$F$5:$F$44,MATCH("Oportunidade-4",Levantamento!$I$5:$I$44,0))&amp;")","")</f>
        <v/>
      </c>
      <c r="C16" s="23" t="n">
        <v>4</v>
      </c>
      <c r="D16" s="18">
        <f>IFERROR(INDEX(Levantamento!$A$5:$A$44,MATCH("Ameaça-4",Levantamento!$I$5:$I$44,0))&amp;"  ("&amp;INDEX(Levantamento!$F$5:$F$44,MATCH("Ameaça-4",Levantamento!$I$5:$I$44,0))&amp;")","")</f>
        <v/>
      </c>
    </row>
    <row r="17" ht="30" customHeight="1">
      <c r="A17" s="22" t="n">
        <v>5</v>
      </c>
      <c r="B17" s="18">
        <f>IFERROR(INDEX(Levantamento!$A$5:$A$44,MATCH("Oportunidade-5",Levantamento!$I$5:$I$44,0))&amp;"  ("&amp;INDEX(Levantamento!$F$5:$F$44,MATCH("Oportunidade-5",Levantamento!$I$5:$I$44,0))&amp;")","")</f>
        <v/>
      </c>
      <c r="C17" s="23" t="n">
        <v>5</v>
      </c>
      <c r="D17" s="18">
        <f>IFERROR(INDEX(Levantamento!$A$5:$A$44,MATCH("Ameaça-5",Levantamento!$I$5:$I$44,0))&amp;"  ("&amp;INDEX(Levantamento!$F$5:$F$44,MATCH("Ameaça-5",Levantamento!$I$5:$I$44,0))&amp;")","")</f>
        <v/>
      </c>
    </row>
    <row r="19">
      <c r="B19" s="10" t="inlineStr">
        <is>
          <t>Entre parênteses: pontuação (impacto × relevância).</t>
        </is>
      </c>
    </row>
  </sheetData>
  <mergeCells count="6">
    <mergeCell ref="A4:B4"/>
    <mergeCell ref="A1:D1"/>
    <mergeCell ref="C12:D12"/>
    <mergeCell ref="C4:D4"/>
    <mergeCell ref="A2:D2"/>
    <mergeCell ref="A12:B12"/>
  </mergeCells>
  <pageMargins left="0.75" right="0.75" top="1" bottom="1" header="0.5" footer="0.5"/>
  <pageSetup orientation="landscape" paperSize="9" fitToHeight="0" fitToWidth="1"/>
  <headerFooter>
    <oddHeader/>
    <oddFooter>&amp;C&amp;8 Jonatas Magalhães  |  jonatasmag.github.io  | 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70" customWidth="1" min="3" max="3"/>
  </cols>
  <sheetData>
    <row r="1" ht="22" customHeight="1">
      <c r="A1" s="1" t="inlineStr">
        <is>
          <t>Jonatas Magalhães  |  Consultoria em Dados, Processos e Operações</t>
        </is>
      </c>
      <c r="B1" s="2" t="n"/>
      <c r="C1" s="2" t="n"/>
    </row>
    <row r="2" ht="30" customHeight="1">
      <c r="A2" s="3" t="inlineStr">
        <is>
          <t>Matriz SWOT (FOFA)  —  estratégias cruzadas e postura sugerida</t>
        </is>
      </c>
      <c r="B2" s="4" t="n"/>
      <c r="C2" s="4" t="n"/>
    </row>
    <row r="4" ht="36" customHeight="1">
      <c r="A4" s="11" t="inlineStr">
        <is>
          <t>Quadrante</t>
        </is>
      </c>
      <c r="B4" s="11" t="inlineStr">
        <is>
          <t>Pontuação total</t>
        </is>
      </c>
      <c r="C4" s="11" t="inlineStr">
        <is>
          <t>Leitura</t>
        </is>
      </c>
    </row>
    <row r="5">
      <c r="A5" s="14" t="inlineStr">
        <is>
          <t>Forças</t>
        </is>
      </c>
      <c r="B5" s="14">
        <f>SUMIF(Levantamento!$B$5:$B$44,"Força",Levantamento!$F$5:$F$44)</f>
        <v/>
      </c>
      <c r="C5" s="14" t="inlineStr">
        <is>
          <t>Soma das pontuações das forças</t>
        </is>
      </c>
    </row>
    <row r="6">
      <c r="A6" s="14" t="inlineStr">
        <is>
          <t>Fraquezas</t>
        </is>
      </c>
      <c r="B6" s="14">
        <f>SUMIF(Levantamento!$B$5:$B$44,"Fraqueza",Levantamento!$F$5:$F$44)</f>
        <v/>
      </c>
      <c r="C6" s="14" t="inlineStr">
        <is>
          <t>Soma das pontuações das fraquezas</t>
        </is>
      </c>
    </row>
    <row r="7">
      <c r="A7" s="14" t="inlineStr">
        <is>
          <t>Oportunidades</t>
        </is>
      </c>
      <c r="B7" s="14">
        <f>SUMIF(Levantamento!$B$5:$B$44,"Oportunidade",Levantamento!$F$5:$F$44)</f>
        <v/>
      </c>
      <c r="C7" s="14" t="inlineStr">
        <is>
          <t>Soma das pontuações das oportunidades</t>
        </is>
      </c>
    </row>
    <row r="8">
      <c r="A8" s="14" t="inlineStr">
        <is>
          <t>Ameaças</t>
        </is>
      </c>
      <c r="B8" s="14">
        <f>SUMIF(Levantamento!$B$5:$B$44,"Ameaça",Levantamento!$F$5:$F$44)</f>
        <v/>
      </c>
      <c r="C8" s="14" t="inlineStr">
        <is>
          <t>Soma das pontuações das ameaças</t>
        </is>
      </c>
    </row>
    <row r="10">
      <c r="A10" s="24" t="inlineStr">
        <is>
          <t>Postura estratégica sugerida</t>
        </is>
      </c>
      <c r="B10" s="25">
        <f>IF(B5&gt;=B6,IF(B7&gt;=B8,"Desenvolvimento","Manutenção"),IF(B7&gt;=B8,"Crescimento","Sobrevivência"))</f>
        <v/>
      </c>
      <c r="C10" s="26" t="n"/>
    </row>
    <row r="11">
      <c r="A11" s="10" t="inlineStr">
        <is>
          <t>Desenvolvimento: forças &gt; fraquezas e oportunidades &gt; ameaças — use as forças para crescer.</t>
        </is>
      </c>
    </row>
    <row r="12">
      <c r="A12" s="10" t="inlineStr">
        <is>
          <t>Manutenção: forças &gt; fraquezas, mas ameaças &gt; oportunidades — proteja a posição.</t>
        </is>
      </c>
    </row>
    <row r="13">
      <c r="A13" s="10" t="inlineStr">
        <is>
          <t>Crescimento: fraquezas &gt; forças, com oportunidades &gt; ameaças — corrija as fraquezas para aproveitar o mercado.</t>
        </is>
      </c>
    </row>
    <row r="14">
      <c r="A14" s="10" t="inlineStr">
        <is>
          <t>Sobrevivência: fraquezas &gt; forças e ameaças &gt; oportunidades — reduza riscos e custos primeiro.</t>
        </is>
      </c>
    </row>
    <row r="16" ht="36" customHeight="1">
      <c r="A16" s="11" t="inlineStr">
        <is>
          <t>Estratégia cruzada</t>
        </is>
      </c>
      <c r="B16" s="11" t="inlineStr">
        <is>
          <t>Ação</t>
        </is>
      </c>
      <c r="C16" s="11" t="inlineStr">
        <is>
          <t>Responsável e prazo</t>
        </is>
      </c>
    </row>
    <row r="17" ht="32" customHeight="1">
      <c r="A17" s="18" t="inlineStr">
        <is>
          <t>FO: usar forças para aproveitar oportunidades</t>
        </is>
      </c>
      <c r="B17" s="12" t="inlineStr">
        <is>
          <t>Lançar pedidos de pão artesanal por WhatsApp para o novo condomínio</t>
        </is>
      </c>
      <c r="C17" s="12" t="inlineStr">
        <is>
          <t>Carla, até 15/12</t>
        </is>
      </c>
    </row>
    <row r="18" ht="32" customHeight="1">
      <c r="A18" s="18" t="inlineStr">
        <is>
          <t>FA: usar forças para reduzir ameaças</t>
        </is>
      </c>
      <c r="B18" s="12" t="inlineStr">
        <is>
          <t>Reforçar o atendimento próximo como diferencial frente ao atacarejo</t>
        </is>
      </c>
      <c r="C18" s="12" t="inlineStr">
        <is>
          <t>Carla, contínuo</t>
        </is>
      </c>
    </row>
    <row r="19" ht="32" customHeight="1">
      <c r="A19" s="18" t="inlineStr">
        <is>
          <t>DO: corrigir fraquezas aproveitando oportunidades</t>
        </is>
      </c>
      <c r="B19" s="12" t="inlineStr">
        <is>
          <t>Implantar controle de estoque antes de começar as entregas</t>
        </is>
      </c>
      <c r="C19" s="12" t="inlineStr">
        <is>
          <t>Ana, até 30/11</t>
        </is>
      </c>
    </row>
    <row r="20" ht="32" customHeight="1">
      <c r="A20" s="18" t="inlineStr">
        <is>
          <t>DA: reduzir fraquezas para se proteger das ameaças</t>
        </is>
      </c>
      <c r="B20" s="12" t="inlineStr">
        <is>
          <t>Revisar preços com a planilha de precificação por causa da alta de custos</t>
        </is>
      </c>
      <c r="C20" s="12" t="inlineStr">
        <is>
          <t>Bruno, até 30/11</t>
        </is>
      </c>
    </row>
    <row r="21" ht="32" customHeight="1">
      <c r="A21" s="18" t="n"/>
      <c r="B21" s="12" t="n"/>
      <c r="C21" s="12" t="n"/>
    </row>
    <row r="22" ht="32" customHeight="1">
      <c r="A22" s="18" t="n"/>
      <c r="B22" s="12" t="n"/>
      <c r="C22" s="12" t="n"/>
    </row>
    <row r="23" ht="32" customHeight="1">
      <c r="A23" s="18" t="n"/>
      <c r="B23" s="12" t="n"/>
      <c r="C23" s="12" t="n"/>
    </row>
    <row r="24" ht="32" customHeight="1">
      <c r="A24" s="18" t="n"/>
      <c r="B24" s="12" t="n"/>
      <c r="C24" s="12" t="n"/>
    </row>
  </sheetData>
  <mergeCells count="3">
    <mergeCell ref="A1:C1"/>
    <mergeCell ref="A2:C2"/>
    <mergeCell ref="B10:C10"/>
  </mergeCells>
  <pageMargins left="0.75" right="0.75" top="1" bottom="1" header="0.5" footer="0.5"/>
  <pageSetup orientation="landscape" paperSize="9" fitToHeight="0" fitToWidth="1"/>
  <headerFooter>
    <oddHeader/>
    <oddFooter>&amp;C&amp;8 Jonatas Magalhães  |  jonatasmag.github.io  | 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Jonatas Magalhães</dc:creator>
  <dcterms:created xmlns:dcterms="http://purl.org/dc/terms/" xmlns:xsi="http://www.w3.org/2001/XMLSchema-instance" xsi:type="dcterms:W3CDTF">2026-10-27T21:37:23Z</dcterms:created>
  <dcterms:modified xmlns:dcterms="http://purl.org/dc/terms/" xmlns:xsi="http://www.w3.org/2001/XMLSchema-instance" xsi:type="dcterms:W3CDTF">2026-10-27T21:37:23Z</dcterms:modified>
</cp:coreProperties>
</file>