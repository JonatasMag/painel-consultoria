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DCA" sheetId="2" state="visible" r:id="rId2"/>
    <sheet xmlns:r="http://schemas.openxmlformats.org/officeDocument/2006/relationships" name="Causas" sheetId="3" state="visible" r:id="rId3"/>
    <sheet xmlns:r="http://schemas.openxmlformats.org/officeDocument/2006/relationships" name="Acompanh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%"/>
    <numFmt numFmtId="167" formatCode="0.0"/>
    <numFmt numFmtId="168" formatCode="+0.0;-0.0;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2238"/>
      <sz val="14"/>
    </font>
    <font>
      <name val="Arial"/>
      <b val="1"/>
      <sz val="10"/>
    </font>
    <font>
      <name val="Arial"/>
      <sz val="10"/>
    </font>
    <font>
      <name val="Arial"/>
      <b val="1"/>
      <color rgb="000C2238"/>
      <sz val="11"/>
    </font>
    <font>
      <name val="Arial"/>
      <color rgb="0056687A"/>
      <sz val="10"/>
    </font>
    <font>
      <name val="Arial"/>
      <b val="1"/>
      <color rgb="000C2238"/>
      <sz val="12"/>
    </font>
    <font>
      <name val="Arial"/>
      <sz val="11"/>
    </font>
    <font>
      <name val="Arial"/>
      <b val="1"/>
      <color rgb="00E8A33D"/>
      <sz val="11"/>
    </font>
    <font>
      <name val="Arial"/>
      <color rgb="0056687A"/>
      <sz val="9"/>
    </font>
  </fonts>
  <fills count="6">
    <fill>
      <patternFill/>
    </fill>
    <fill>
      <patternFill patternType="gray125"/>
    </fill>
    <fill>
      <patternFill patternType="solid">
        <fgColor rgb="000C2238"/>
      </patternFill>
    </fill>
    <fill>
      <patternFill patternType="solid">
        <fgColor rgb="00FFF8E8"/>
      </patternFill>
    </fill>
    <fill>
      <patternFill patternType="solid">
        <fgColor rgb="00163452"/>
      </patternFill>
    </fill>
    <fill>
      <patternFill patternType="solid">
        <fgColor rgb="00E9EEF3"/>
      </patternFill>
    </fill>
  </fills>
  <borders count="8">
    <border>
      <left/>
      <right/>
      <top/>
      <bottom/>
      <diagonal/>
    </border>
    <border>
      <bottom style="medium">
        <color rgb="00E8A33D"/>
      </bottom>
    </border>
    <border>
      <left/>
      <right/>
      <top/>
      <bottom style="medium">
        <color rgb="00E8A33D"/>
      </bottom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  <border>
      <left/>
      <right/>
      <top style="thin">
        <color rgb="00D6DEE6"/>
      </top>
      <bottom/>
      <diagonal/>
    </border>
    <border>
      <left/>
      <right style="thin">
        <color rgb="00D6DEE6"/>
      </right>
      <top style="thin">
        <color rgb="00D6DEE6"/>
      </top>
      <bottom/>
      <diagonal/>
    </border>
    <border>
      <left/>
      <right/>
      <top style="thin">
        <color rgb="00D6DEE6"/>
      </top>
      <bottom style="thin">
        <color rgb="00D6DEE6"/>
      </bottom>
      <diagonal/>
    </border>
    <border>
      <left/>
      <right style="thin">
        <color rgb="00D6DEE6"/>
      </right>
      <top style="thin">
        <color rgb="00D6DEE6"/>
      </top>
      <bottom style="thin">
        <color rgb="00D6DEE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1" applyAlignment="1" pivotButton="0" quotePrefix="0" xfId="0">
      <alignment vertical="center" indent="1"/>
    </xf>
    <xf numFmtId="0" fontId="0" fillId="0" borderId="2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top"/>
    </xf>
    <xf numFmtId="0" fontId="0" fillId="3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4" fillId="3" borderId="3" pivotButton="0" quotePrefix="0" xfId="0"/>
    <xf numFmtId="0" fontId="0" fillId="0" borderId="6" pivotButton="0" quotePrefix="0" xfId="0"/>
    <xf numFmtId="0" fontId="0" fillId="0" borderId="7" pivotButton="0" quotePrefix="0" xfId="0"/>
    <xf numFmtId="165" fontId="4" fillId="3" borderId="3" pivotButton="0" quotePrefix="0" xfId="0"/>
    <xf numFmtId="0" fontId="1" fillId="4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top"/>
    </xf>
    <xf numFmtId="0" fontId="4" fillId="3" borderId="3" applyAlignment="1" pivotButton="0" quotePrefix="0" xfId="0">
      <alignment vertical="top" wrapText="1"/>
    </xf>
    <xf numFmtId="165" fontId="4" fillId="3" borderId="3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166" fontId="3" fillId="5" borderId="3" pivotButton="0" quotePrefix="0" xfId="0"/>
    <xf numFmtId="0" fontId="4" fillId="0" borderId="3" applyAlignment="1" pivotButton="0" quotePrefix="0" xfId="0">
      <alignment vertical="top"/>
    </xf>
    <xf numFmtId="167" fontId="4" fillId="0" borderId="3" applyAlignment="1" pivotButton="0" quotePrefix="0" xfId="0">
      <alignment vertical="top"/>
    </xf>
    <xf numFmtId="167" fontId="4" fillId="3" borderId="3" applyAlignment="1" pivotButton="0" quotePrefix="0" xfId="0">
      <alignment vertical="top"/>
    </xf>
    <xf numFmtId="168" fontId="4" fillId="0" borderId="3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E3F4EC"/>
        </patternFill>
      </fill>
    </dxf>
    <dxf>
      <fill>
        <patternFill patternType="solid">
          <fgColor rgb="00FBF0DC"/>
        </patternFill>
      </fill>
    </dxf>
    <dxf>
      <fill>
        <patternFill patternType="solid">
          <fgColor rgb="00FBE5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 contra a meta</a:t>
            </a:r>
          </a:p>
        </rich>
      </tx>
    </title>
    <plotArea>
      <lineChart>
        <grouping val="standard"/>
        <ser>
          <idx val="0"/>
          <order val="0"/>
          <tx>
            <strRef>
              <f>'Acompanhamento'!B4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'Acompanhamento'!$A$5:$A$12</f>
            </numRef>
          </cat>
          <val>
            <numRef>
              <f>'Acompanhamento'!$B$5:$B$12</f>
            </numRef>
          </val>
        </ser>
        <ser>
          <idx val="1"/>
          <order val="1"/>
          <tx>
            <strRef>
              <f>'Acompanhamento'!C4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'Acompanhamento'!$A$5:$A$12</f>
            </numRef>
          </cat>
          <val>
            <numRef>
              <f>'Acompanhamento'!$C$5:$C$12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Ciclo PDCA</t>
        </is>
      </c>
      <c r="B2" s="4" t="n"/>
      <c r="C2" s="4" t="n"/>
    </row>
    <row r="4">
      <c r="B4" s="5" t="inlineStr">
        <is>
          <t>Para que serve</t>
        </is>
      </c>
    </row>
    <row r="5" ht="45" customHeight="1">
      <c r="C5" s="6" t="inlineStr">
        <is>
          <t>Resolver um problema que se repete e melhorar um indicador em quatro fases: Planejar (entender o problema e as causas), Executar (fazer as ações), Verificar (medir o resultado) e Agir (padronizar o que funcionou ou recomeçar).</t>
        </is>
      </c>
    </row>
    <row r="7">
      <c r="B7" s="5" t="inlineStr">
        <is>
          <t>Passo a passo</t>
        </is>
      </c>
    </row>
    <row r="8" ht="15" customHeight="1">
      <c r="B8" s="7" t="n">
        <v>1</v>
      </c>
      <c r="C8" s="6" t="inlineStr">
        <is>
          <t>Na aba PDCA, descreva o problema com um fato que dá para medir e escolha o indicador.</t>
        </is>
      </c>
    </row>
    <row r="9" ht="30" customHeight="1">
      <c r="B9" s="7" t="n">
        <v>2</v>
      </c>
      <c r="C9" s="6" t="inlineStr">
        <is>
          <t>Digite o valor de partida (como está hoje), a meta e o prazo. Diga se, para esse indicador, quanto menor, melhor.</t>
        </is>
      </c>
    </row>
    <row r="10" ht="30" customHeight="1">
      <c r="B10" s="7" t="n">
        <v>3</v>
      </c>
      <c r="C10" s="6" t="inlineStr">
        <is>
          <t>Na aba Causas, liste as causas prováveis, a categoria e as notas de impacto e de facilidade. Comece pelas de maior prioridade.</t>
        </is>
      </c>
    </row>
    <row r="11" ht="15" customHeight="1">
      <c r="B11" s="7" t="n">
        <v>4</v>
      </c>
      <c r="C11" s="6" t="inlineStr">
        <is>
          <t>Registre as atividades de cada fase na aba PDCA, com responsável, prazo e status.</t>
        </is>
      </c>
    </row>
    <row r="12" ht="15" customHeight="1">
      <c r="B12" s="7" t="n">
        <v>5</v>
      </c>
      <c r="C12" s="6" t="inlineStr">
        <is>
          <t>Execute as ações e, durante a execução, lance as medições na aba Acompanhamento.</t>
        </is>
      </c>
    </row>
    <row r="13" ht="30" customHeight="1">
      <c r="B13" s="7" t="n">
        <v>6</v>
      </c>
      <c r="C13" s="6" t="inlineStr">
        <is>
          <t>Compare o resultado com a meta. Se atingiu, transforme a solução em procedimento (POP). Se não, volte às causas e comece um novo ciclo.</t>
        </is>
      </c>
    </row>
    <row r="15">
      <c r="B15" s="5" t="inlineStr">
        <is>
          <t>Bom saber</t>
        </is>
      </c>
    </row>
    <row r="16" ht="30" customHeight="1">
      <c r="C16" s="6" t="inlineStr">
        <is>
          <t>Um ciclo PDCA trata um problema por vez. Para vários problemas, use uma cópia da planilha para cada um.</t>
        </is>
      </c>
    </row>
    <row r="17" ht="15" customHeight="1">
      <c r="C17" s="6" t="inlineStr">
        <is>
          <t>Meça antes de mudar: sem o valor de partida, não dá para saber se a ação funcionou.</t>
        </is>
      </c>
    </row>
    <row r="19">
      <c r="B19" s="8" t="n"/>
      <c r="C19" s="9" t="inlineStr">
        <is>
          <t>Células nesta cor: você digita. As demais são calculadas e não precisam ser alteradas.</t>
        </is>
      </c>
    </row>
    <row r="20">
      <c r="C20" s="9" t="inlineStr">
        <is>
          <t>Procedimento de implantação: POP-F04 (baixe junto no painel).  Os dados de exemplo são fictícios.</t>
        </is>
      </c>
    </row>
    <row r="22">
      <c r="C22" s="10" t="inlineStr">
        <is>
          <t>jonatasmag.github.io  |  chazaq.adm@gmail.com  |  (47) 98849-9129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12" customWidth="1" min="4" max="4"/>
    <col width="14" customWidth="1" min="5" max="5"/>
    <col width="40" customWidth="1" min="6" max="6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Ciclo PDCA  —  melhoria de um indicador</t>
        </is>
      </c>
      <c r="B2" s="4" t="n"/>
      <c r="C2" s="4" t="n"/>
      <c r="D2" s="4" t="n"/>
      <c r="E2" s="4" t="n"/>
      <c r="F2" s="4" t="n"/>
    </row>
    <row r="4">
      <c r="A4" s="11" t="inlineStr">
        <is>
          <t>Problema</t>
        </is>
      </c>
      <c r="B4" s="12" t="inlineStr">
        <is>
          <t>Clientes esperam muito na fila do caixa no fim da tarde</t>
        </is>
      </c>
      <c r="C4" s="13" t="n"/>
      <c r="D4" s="14" t="n"/>
    </row>
    <row r="5">
      <c r="A5" s="11" t="inlineStr">
        <is>
          <t>Indicador</t>
        </is>
      </c>
      <c r="B5" s="12" t="inlineStr">
        <is>
          <t>Tempo médio de espera na fila (minutos)</t>
        </is>
      </c>
      <c r="C5" s="13" t="n"/>
      <c r="D5" s="14" t="n"/>
    </row>
    <row r="6">
      <c r="A6" s="11" t="inlineStr">
        <is>
          <t>Valor de partida</t>
        </is>
      </c>
      <c r="B6" s="12" t="n">
        <v>9</v>
      </c>
      <c r="C6" s="13" t="n"/>
      <c r="D6" s="14" t="n"/>
    </row>
    <row r="7">
      <c r="A7" s="11" t="inlineStr">
        <is>
          <t>Meta</t>
        </is>
      </c>
      <c r="B7" s="12" t="n">
        <v>4</v>
      </c>
      <c r="C7" s="13" t="n"/>
      <c r="D7" s="14" t="n"/>
    </row>
    <row r="8">
      <c r="A8" s="11" t="inlineStr">
        <is>
          <t>Quanto menor, melhor?</t>
        </is>
      </c>
      <c r="B8" s="12" t="inlineStr">
        <is>
          <t>Sim</t>
        </is>
      </c>
      <c r="C8" s="13" t="n"/>
      <c r="D8" s="14" t="n"/>
    </row>
    <row r="9">
      <c r="A9" s="11" t="inlineStr">
        <is>
          <t>Prazo da meta</t>
        </is>
      </c>
      <c r="B9" s="15" t="n">
        <v>46446</v>
      </c>
      <c r="C9" s="13" t="n"/>
      <c r="D9" s="14" t="n"/>
    </row>
    <row r="10">
      <c r="A10" s="11" t="inlineStr">
        <is>
          <t>Responsável pelo ciclo</t>
        </is>
      </c>
      <c r="B10" s="12" t="inlineStr">
        <is>
          <t>Carla (gerente)</t>
        </is>
      </c>
      <c r="C10" s="13" t="n"/>
      <c r="D10" s="14" t="n"/>
    </row>
    <row r="12" ht="36" customHeight="1">
      <c r="A12" s="16" t="inlineStr">
        <is>
          <t>Fase</t>
        </is>
      </c>
      <c r="B12" s="16" t="inlineStr">
        <is>
          <t>Atividade</t>
        </is>
      </c>
      <c r="C12" s="16" t="inlineStr">
        <is>
          <t>Responsável</t>
        </is>
      </c>
      <c r="D12" s="16" t="inlineStr">
        <is>
          <t>Prazo</t>
        </is>
      </c>
      <c r="E12" s="16" t="inlineStr">
        <is>
          <t>Status</t>
        </is>
      </c>
      <c r="F12" s="16" t="inlineStr">
        <is>
          <t>Evidência ou resultado</t>
        </is>
      </c>
    </row>
    <row r="13">
      <c r="A13" s="17" t="inlineStr">
        <is>
          <t>P – Planejar</t>
        </is>
      </c>
      <c r="B13" s="18" t="inlineStr">
        <is>
          <t>Medir o tempo de espera por 2 semanas, por faixa de horário</t>
        </is>
      </c>
      <c r="C13" s="17" t="inlineStr">
        <is>
          <t>Carla (gerente)</t>
        </is>
      </c>
      <c r="D13" s="19" t="n">
        <v>46340</v>
      </c>
      <c r="E13" s="17" t="inlineStr">
        <is>
          <t>Concluída</t>
        </is>
      </c>
      <c r="F13" s="18" t="inlineStr">
        <is>
          <t>Pico entre 17 h e 19 h: 9 min em média</t>
        </is>
      </c>
    </row>
    <row r="14">
      <c r="A14" s="17" t="inlineStr">
        <is>
          <t>P – Planejar</t>
        </is>
      </c>
      <c r="B14" s="18" t="inlineStr">
        <is>
          <t>Listar as causas e priorizar na aba Causas</t>
        </is>
      </c>
      <c r="C14" s="17" t="inlineStr">
        <is>
          <t>Equipe</t>
        </is>
      </c>
      <c r="D14" s="19" t="n">
        <v>46344</v>
      </c>
      <c r="E14" s="17" t="inlineStr">
        <is>
          <t>Concluída</t>
        </is>
      </c>
      <c r="F14" s="18" t="inlineStr">
        <is>
          <t>3 causas prioritárias</t>
        </is>
      </c>
    </row>
    <row r="15">
      <c r="A15" s="17" t="inlineStr">
        <is>
          <t>P – Planejar</t>
        </is>
      </c>
      <c r="B15" s="18" t="inlineStr">
        <is>
          <t>Definir as ações e registrar no plano 5W2H</t>
        </is>
      </c>
      <c r="C15" s="17" t="inlineStr">
        <is>
          <t>Carla (gerente)</t>
        </is>
      </c>
      <c r="D15" s="19" t="n">
        <v>46347</v>
      </c>
      <c r="E15" s="17" t="inlineStr">
        <is>
          <t>Concluída</t>
        </is>
      </c>
      <c r="F15" s="18" t="inlineStr"/>
    </row>
    <row r="16">
      <c r="A16" s="17" t="inlineStr">
        <is>
          <t>D – Executar</t>
        </is>
      </c>
      <c r="B16" s="18" t="inlineStr">
        <is>
          <t>Abrir o segundo caixa das 17 h às 19 h</t>
        </is>
      </c>
      <c r="C16" s="17" t="inlineStr">
        <is>
          <t>Carla (gerente)</t>
        </is>
      </c>
      <c r="D16" s="19" t="n">
        <v>46357</v>
      </c>
      <c r="E16" s="17" t="inlineStr">
        <is>
          <t>Em andamento</t>
        </is>
      </c>
      <c r="F16" s="18" t="inlineStr"/>
    </row>
    <row r="17">
      <c r="A17" s="17" t="inlineStr">
        <is>
          <t>D – Executar</t>
        </is>
      </c>
      <c r="B17" s="18" t="inlineStr">
        <is>
          <t>Treinar operadores em atalhos do sistema</t>
        </is>
      </c>
      <c r="C17" s="17" t="inlineStr">
        <is>
          <t>Diego (caixa)</t>
        </is>
      </c>
      <c r="D17" s="19" t="n">
        <v>46361</v>
      </c>
      <c r="E17" s="17" t="inlineStr">
        <is>
          <t>Não iniciada</t>
        </is>
      </c>
      <c r="F17" s="18" t="inlineStr"/>
    </row>
    <row r="18">
      <c r="A18" s="17" t="inlineStr">
        <is>
          <t>C – Verificar</t>
        </is>
      </c>
      <c r="B18" s="18" t="inlineStr">
        <is>
          <t>Medir de novo o tempo de espera por 4 semanas</t>
        </is>
      </c>
      <c r="C18" s="17" t="inlineStr">
        <is>
          <t>Carla (gerente)</t>
        </is>
      </c>
      <c r="D18" s="19" t="n">
        <v>46396</v>
      </c>
      <c r="E18" s="17" t="inlineStr">
        <is>
          <t>Não iniciada</t>
        </is>
      </c>
      <c r="F18" s="18" t="inlineStr"/>
    </row>
    <row r="19">
      <c r="A19" s="17" t="inlineStr">
        <is>
          <t>C – Verificar</t>
        </is>
      </c>
      <c r="B19" s="18" t="inlineStr">
        <is>
          <t>Comparar com a meta na aba Acompanhamento</t>
        </is>
      </c>
      <c r="C19" s="17" t="inlineStr">
        <is>
          <t>Carla (gerente)</t>
        </is>
      </c>
      <c r="D19" s="19" t="n">
        <v>46399</v>
      </c>
      <c r="E19" s="17" t="inlineStr">
        <is>
          <t>Não iniciada</t>
        </is>
      </c>
      <c r="F19" s="18" t="inlineStr"/>
    </row>
    <row r="20">
      <c r="A20" s="17" t="inlineStr">
        <is>
          <t>A – Agir</t>
        </is>
      </c>
      <c r="B20" s="18" t="inlineStr">
        <is>
          <t>Se atingiu: transformar em POP e treinar todos</t>
        </is>
      </c>
      <c r="C20" s="17" t="inlineStr">
        <is>
          <t>Carla (gerente)</t>
        </is>
      </c>
      <c r="D20" s="19" t="n">
        <v>46418</v>
      </c>
      <c r="E20" s="17" t="inlineStr">
        <is>
          <t>Não iniciada</t>
        </is>
      </c>
      <c r="F20" s="18" t="inlineStr"/>
    </row>
    <row r="21">
      <c r="A21" s="17" t="inlineStr">
        <is>
          <t>A – Agir</t>
        </is>
      </c>
      <c r="B21" s="18" t="inlineStr">
        <is>
          <t>Se não atingiu: voltar às causas e iniciar novo ciclo</t>
        </is>
      </c>
      <c r="C21" s="17" t="inlineStr">
        <is>
          <t>Carla (gerente)</t>
        </is>
      </c>
      <c r="D21" s="19" t="n">
        <v>46418</v>
      </c>
      <c r="E21" s="17" t="inlineStr">
        <is>
          <t>Não iniciada</t>
        </is>
      </c>
      <c r="F21" s="18" t="inlineStr"/>
    </row>
    <row r="22">
      <c r="A22" s="17" t="n"/>
      <c r="B22" s="18" t="n"/>
      <c r="C22" s="17" t="n"/>
      <c r="D22" s="19" t="n"/>
      <c r="E22" s="17" t="n"/>
      <c r="F22" s="18" t="n"/>
    </row>
    <row r="23">
      <c r="A23" s="17" t="n"/>
      <c r="B23" s="18" t="n"/>
      <c r="C23" s="17" t="n"/>
      <c r="D23" s="19" t="n"/>
      <c r="E23" s="17" t="n"/>
      <c r="F23" s="18" t="n"/>
    </row>
    <row r="24">
      <c r="A24" s="17" t="n"/>
      <c r="B24" s="18" t="n"/>
      <c r="C24" s="17" t="n"/>
      <c r="D24" s="19" t="n"/>
      <c r="E24" s="17" t="n"/>
      <c r="F24" s="18" t="n"/>
    </row>
    <row r="25">
      <c r="A25" s="17" t="n"/>
      <c r="B25" s="18" t="n"/>
      <c r="C25" s="17" t="n"/>
      <c r="D25" s="19" t="n"/>
      <c r="E25" s="17" t="n"/>
      <c r="F25" s="18" t="n"/>
    </row>
    <row r="26">
      <c r="A26" s="17" t="n"/>
      <c r="B26" s="18" t="n"/>
      <c r="C26" s="17" t="n"/>
      <c r="D26" s="19" t="n"/>
      <c r="E26" s="17" t="n"/>
      <c r="F26" s="18" t="n"/>
    </row>
    <row r="27">
      <c r="A27" s="17" t="n"/>
      <c r="B27" s="18" t="n"/>
      <c r="C27" s="17" t="n"/>
      <c r="D27" s="19" t="n"/>
      <c r="E27" s="17" t="n"/>
      <c r="F27" s="18" t="n"/>
    </row>
    <row r="28">
      <c r="A28" s="17" t="n"/>
      <c r="B28" s="18" t="n"/>
      <c r="C28" s="17" t="n"/>
      <c r="D28" s="19" t="n"/>
      <c r="E28" s="17" t="n"/>
      <c r="F28" s="18" t="n"/>
    </row>
    <row r="29">
      <c r="A29" s="17" t="n"/>
      <c r="B29" s="18" t="n"/>
      <c r="C29" s="17" t="n"/>
      <c r="D29" s="19" t="n"/>
      <c r="E29" s="17" t="n"/>
      <c r="F29" s="18" t="n"/>
    </row>
    <row r="30">
      <c r="A30" s="17" t="n"/>
      <c r="B30" s="18" t="n"/>
      <c r="C30" s="17" t="n"/>
      <c r="D30" s="19" t="n"/>
      <c r="E30" s="17" t="n"/>
      <c r="F30" s="18" t="n"/>
    </row>
    <row r="31">
      <c r="A31" s="17" t="n"/>
      <c r="B31" s="18" t="n"/>
      <c r="C31" s="17" t="n"/>
      <c r="D31" s="19" t="n"/>
      <c r="E31" s="17" t="n"/>
      <c r="F31" s="18" t="n"/>
    </row>
    <row r="32">
      <c r="A32" s="17" t="n"/>
      <c r="B32" s="18" t="n"/>
      <c r="C32" s="17" t="n"/>
      <c r="D32" s="19" t="n"/>
      <c r="E32" s="17" t="n"/>
      <c r="F32" s="18" t="n"/>
    </row>
    <row r="34">
      <c r="A34" s="20" t="inlineStr">
        <is>
          <t>Andamento por fase</t>
        </is>
      </c>
    </row>
    <row r="35">
      <c r="A35" s="21" t="inlineStr">
        <is>
          <t>P – Planejar</t>
        </is>
      </c>
      <c r="B35" s="22">
        <f>IFERROR(COUNTIFS(A13:A32,A35,E13:E32,"Concluída")/COUNTIF(A13:A32,A35),0)</f>
        <v/>
      </c>
    </row>
    <row r="36">
      <c r="A36" s="21" t="inlineStr">
        <is>
          <t>D – Executar</t>
        </is>
      </c>
      <c r="B36" s="22">
        <f>IFERROR(COUNTIFS(A13:A32,A36,E13:E32,"Concluída")/COUNTIF(A13:A32,A36),0)</f>
        <v/>
      </c>
    </row>
    <row r="37">
      <c r="A37" s="21" t="inlineStr">
        <is>
          <t>C – Verificar</t>
        </is>
      </c>
      <c r="B37" s="22">
        <f>IFERROR(COUNTIFS(A13:A32,A37,E13:E32,"Concluída")/COUNTIF(A13:A32,A37),0)</f>
        <v/>
      </c>
    </row>
    <row r="38">
      <c r="A38" s="21" t="inlineStr">
        <is>
          <t>A – Agir</t>
        </is>
      </c>
      <c r="B38" s="22">
        <f>IFERROR(COUNTIFS(A13:A32,A38,E13:E32,"Concluída")/COUNTIF(A13:A32,A38),0)</f>
        <v/>
      </c>
    </row>
  </sheetData>
  <mergeCells count="9">
    <mergeCell ref="B10:D10"/>
    <mergeCell ref="A2:F2"/>
    <mergeCell ref="B5:D5"/>
    <mergeCell ref="A1:F1"/>
    <mergeCell ref="B8:D8"/>
    <mergeCell ref="B4:D4"/>
    <mergeCell ref="B9:D9"/>
    <mergeCell ref="B7:D7"/>
    <mergeCell ref="B6:D6"/>
  </mergeCells>
  <conditionalFormatting sqref="E13:E32">
    <cfRule type="cellIs" priority="1" operator="equal" dxfId="0">
      <formula>"Concluída"</formula>
    </cfRule>
    <cfRule type="cellIs" priority="2" operator="equal" dxfId="1">
      <formula>"Em andamento"</formula>
    </cfRule>
  </conditionalFormatting>
  <dataValidations count="3">
    <dataValidation sqref="B8" showDropDown="0" showInputMessage="0" showErrorMessage="0" allowBlank="1" errorTitle="Valor fora da lista" error="Responda Sim ou Não." type="list">
      <formula1>"Sim,Não"</formula1>
    </dataValidation>
    <dataValidation sqref="A13:A32" showDropDown="0" showInputMessage="0" showErrorMessage="0" allowBlank="1" errorTitle="Valor fora da lista" error="Escolha a fase do ciclo." type="list">
      <formula1>"P – Planejar,D – Executar,C – Verificar,A – Agir"</formula1>
    </dataValidation>
    <dataValidation sqref="E13:E32" showDropDown="0" showInputMessage="0" showErrorMessage="0" allowBlank="1" errorTitle="Valor fora da lista" error="Escolha um status da lista." type="list">
      <formula1>"Não iniciada,Em andamento,Concluída"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16" customWidth="1" min="4" max="4"/>
    <col width="11" customWidth="1" min="5" max="5"/>
    <col width="9" customWidth="1" min="6" max="6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Ciclo PDCA  —  causas do problema</t>
        </is>
      </c>
      <c r="B2" s="4" t="n"/>
      <c r="C2" s="4" t="n"/>
      <c r="D2" s="4" t="n"/>
      <c r="E2" s="4" t="n"/>
      <c r="F2" s="4" t="n"/>
    </row>
    <row r="4" ht="36" customHeight="1">
      <c r="A4" s="16" t="inlineStr">
        <is>
          <t>Causa provável</t>
        </is>
      </c>
      <c r="B4" s="16" t="inlineStr">
        <is>
          <t>Categoria (6M)</t>
        </is>
      </c>
      <c r="C4" s="16" t="inlineStr">
        <is>
          <t>Impacto (1 a 5)</t>
        </is>
      </c>
      <c r="D4" s="16" t="inlineStr">
        <is>
          <t>Facilidade de resolver (1 a 5)</t>
        </is>
      </c>
      <c r="E4" s="16" t="inlineStr">
        <is>
          <t>Prioridade</t>
        </is>
      </c>
      <c r="F4" s="16" t="inlineStr">
        <is>
          <t>Ordem</t>
        </is>
      </c>
    </row>
    <row r="5">
      <c r="A5" s="18" t="inlineStr">
        <is>
          <t>Só um caixa aberto no horário de pico</t>
        </is>
      </c>
      <c r="B5" s="17" t="inlineStr">
        <is>
          <t>Mão de obra</t>
        </is>
      </c>
      <c r="C5" s="17" t="n">
        <v>5</v>
      </c>
      <c r="D5" s="17" t="n">
        <v>4</v>
      </c>
      <c r="E5" s="23">
        <f>IF(OR(C5="",D5=""),"",C5*D5)</f>
        <v/>
      </c>
      <c r="F5" s="23">
        <f>IF(E5="","",COUNTIF($E$5:$E$24,"&gt;"&amp;E5)+COUNTIF($E$5:E5,E5))</f>
        <v/>
      </c>
    </row>
    <row r="6">
      <c r="A6" s="18" t="inlineStr">
        <is>
          <t>Operador lento para buscar produto sem código</t>
        </is>
      </c>
      <c r="B6" s="17" t="inlineStr">
        <is>
          <t>Método</t>
        </is>
      </c>
      <c r="C6" s="17" t="n">
        <v>4</v>
      </c>
      <c r="D6" s="17" t="n">
        <v>4</v>
      </c>
      <c r="E6" s="23">
        <f>IF(OR(C6="",D6=""),"",C6*D6)</f>
        <v/>
      </c>
      <c r="F6" s="23">
        <f>IF(E6="","",COUNTIF($E$5:$E$24,"&gt;"&amp;E6)+COUNTIF($E$5:E6,E6))</f>
        <v/>
      </c>
    </row>
    <row r="7">
      <c r="A7" s="18" t="inlineStr">
        <is>
          <t>Leitor de código de barras falha</t>
        </is>
      </c>
      <c r="B7" s="17" t="inlineStr">
        <is>
          <t>Máquina</t>
        </is>
      </c>
      <c r="C7" s="17" t="n">
        <v>3</v>
      </c>
      <c r="D7" s="17" t="n">
        <v>3</v>
      </c>
      <c r="E7" s="23">
        <f>IF(OR(C7="",D7=""),"",C7*D7)</f>
        <v/>
      </c>
      <c r="F7" s="23">
        <f>IF(E7="","",COUNTIF($E$5:$E$24,"&gt;"&amp;E7)+COUNTIF($E$5:E7,E7))</f>
        <v/>
      </c>
    </row>
    <row r="8">
      <c r="A8" s="18" t="inlineStr">
        <is>
          <t>Pagamentos em dinheiro com troco demorado</t>
        </is>
      </c>
      <c r="B8" s="17" t="inlineStr">
        <is>
          <t>Método</t>
        </is>
      </c>
      <c r="C8" s="17" t="n">
        <v>2</v>
      </c>
      <c r="D8" s="17" t="n">
        <v>3</v>
      </c>
      <c r="E8" s="23">
        <f>IF(OR(C8="",D8=""),"",C8*D8)</f>
        <v/>
      </c>
      <c r="F8" s="23">
        <f>IF(E8="","",COUNTIF($E$5:$E$24,"&gt;"&amp;E8)+COUNTIF($E$5:E8,E8))</f>
        <v/>
      </c>
    </row>
    <row r="9">
      <c r="A9" s="18" t="inlineStr">
        <is>
          <t>Falta de etiqueta de preço gera consulta</t>
        </is>
      </c>
      <c r="B9" s="17" t="inlineStr">
        <is>
          <t>Material</t>
        </is>
      </c>
      <c r="C9" s="17" t="n">
        <v>3</v>
      </c>
      <c r="D9" s="17" t="n">
        <v>5</v>
      </c>
      <c r="E9" s="23">
        <f>IF(OR(C9="",D9=""),"",C9*D9)</f>
        <v/>
      </c>
      <c r="F9" s="23">
        <f>IF(E9="","",COUNTIF($E$5:$E$24,"&gt;"&amp;E9)+COUNTIF($E$5:E9,E9))</f>
        <v/>
      </c>
    </row>
    <row r="10">
      <c r="A10" s="18" t="inlineStr">
        <is>
          <t>Fila desorganizada perto da porta</t>
        </is>
      </c>
      <c r="B10" s="17" t="inlineStr">
        <is>
          <t>Meio ambiente</t>
        </is>
      </c>
      <c r="C10" s="17" t="n">
        <v>2</v>
      </c>
      <c r="D10" s="17" t="n">
        <v>4</v>
      </c>
      <c r="E10" s="23">
        <f>IF(OR(C10="",D10=""),"",C10*D10)</f>
        <v/>
      </c>
      <c r="F10" s="23">
        <f>IF(E10="","",COUNTIF($E$5:$E$24,"&gt;"&amp;E10)+COUNTIF($E$5:E10,E10))</f>
        <v/>
      </c>
    </row>
    <row r="11">
      <c r="A11" s="18" t="n"/>
      <c r="B11" s="17" t="n"/>
      <c r="C11" s="17" t="n"/>
      <c r="D11" s="17" t="n"/>
      <c r="E11" s="23">
        <f>IF(OR(C11="",D11=""),"",C11*D11)</f>
        <v/>
      </c>
      <c r="F11" s="23">
        <f>IF(E11="","",COUNTIF($E$5:$E$24,"&gt;"&amp;E11)+COUNTIF($E$5:E11,E11))</f>
        <v/>
      </c>
    </row>
    <row r="12">
      <c r="A12" s="18" t="n"/>
      <c r="B12" s="17" t="n"/>
      <c r="C12" s="17" t="n"/>
      <c r="D12" s="17" t="n"/>
      <c r="E12" s="23">
        <f>IF(OR(C12="",D12=""),"",C12*D12)</f>
        <v/>
      </c>
      <c r="F12" s="23">
        <f>IF(E12="","",COUNTIF($E$5:$E$24,"&gt;"&amp;E12)+COUNTIF($E$5:E12,E12))</f>
        <v/>
      </c>
    </row>
    <row r="13">
      <c r="A13" s="18" t="n"/>
      <c r="B13" s="17" t="n"/>
      <c r="C13" s="17" t="n"/>
      <c r="D13" s="17" t="n"/>
      <c r="E13" s="23">
        <f>IF(OR(C13="",D13=""),"",C13*D13)</f>
        <v/>
      </c>
      <c r="F13" s="23">
        <f>IF(E13="","",COUNTIF($E$5:$E$24,"&gt;"&amp;E13)+COUNTIF($E$5:E13,E13))</f>
        <v/>
      </c>
    </row>
    <row r="14">
      <c r="A14" s="18" t="n"/>
      <c r="B14" s="17" t="n"/>
      <c r="C14" s="17" t="n"/>
      <c r="D14" s="17" t="n"/>
      <c r="E14" s="23">
        <f>IF(OR(C14="",D14=""),"",C14*D14)</f>
        <v/>
      </c>
      <c r="F14" s="23">
        <f>IF(E14="","",COUNTIF($E$5:$E$24,"&gt;"&amp;E14)+COUNTIF($E$5:E14,E14))</f>
        <v/>
      </c>
    </row>
    <row r="15">
      <c r="A15" s="18" t="n"/>
      <c r="B15" s="17" t="n"/>
      <c r="C15" s="17" t="n"/>
      <c r="D15" s="17" t="n"/>
      <c r="E15" s="23">
        <f>IF(OR(C15="",D15=""),"",C15*D15)</f>
        <v/>
      </c>
      <c r="F15" s="23">
        <f>IF(E15="","",COUNTIF($E$5:$E$24,"&gt;"&amp;E15)+COUNTIF($E$5:E15,E15))</f>
        <v/>
      </c>
    </row>
    <row r="16">
      <c r="A16" s="18" t="n"/>
      <c r="B16" s="17" t="n"/>
      <c r="C16" s="17" t="n"/>
      <c r="D16" s="17" t="n"/>
      <c r="E16" s="23">
        <f>IF(OR(C16="",D16=""),"",C16*D16)</f>
        <v/>
      </c>
      <c r="F16" s="23">
        <f>IF(E16="","",COUNTIF($E$5:$E$24,"&gt;"&amp;E16)+COUNTIF($E$5:E16,E16))</f>
        <v/>
      </c>
    </row>
    <row r="17">
      <c r="A17" s="18" t="n"/>
      <c r="B17" s="17" t="n"/>
      <c r="C17" s="17" t="n"/>
      <c r="D17" s="17" t="n"/>
      <c r="E17" s="23">
        <f>IF(OR(C17="",D17=""),"",C17*D17)</f>
        <v/>
      </c>
      <c r="F17" s="23">
        <f>IF(E17="","",COUNTIF($E$5:$E$24,"&gt;"&amp;E17)+COUNTIF($E$5:E17,E17))</f>
        <v/>
      </c>
    </row>
    <row r="18">
      <c r="A18" s="18" t="n"/>
      <c r="B18" s="17" t="n"/>
      <c r="C18" s="17" t="n"/>
      <c r="D18" s="17" t="n"/>
      <c r="E18" s="23">
        <f>IF(OR(C18="",D18=""),"",C18*D18)</f>
        <v/>
      </c>
      <c r="F18" s="23">
        <f>IF(E18="","",COUNTIF($E$5:$E$24,"&gt;"&amp;E18)+COUNTIF($E$5:E18,E18))</f>
        <v/>
      </c>
    </row>
    <row r="19">
      <c r="A19" s="18" t="n"/>
      <c r="B19" s="17" t="n"/>
      <c r="C19" s="17" t="n"/>
      <c r="D19" s="17" t="n"/>
      <c r="E19" s="23">
        <f>IF(OR(C19="",D19=""),"",C19*D19)</f>
        <v/>
      </c>
      <c r="F19" s="23">
        <f>IF(E19="","",COUNTIF($E$5:$E$24,"&gt;"&amp;E19)+COUNTIF($E$5:E19,E19))</f>
        <v/>
      </c>
    </row>
    <row r="20">
      <c r="A20" s="18" t="n"/>
      <c r="B20" s="17" t="n"/>
      <c r="C20" s="17" t="n"/>
      <c r="D20" s="17" t="n"/>
      <c r="E20" s="23">
        <f>IF(OR(C20="",D20=""),"",C20*D20)</f>
        <v/>
      </c>
      <c r="F20" s="23">
        <f>IF(E20="","",COUNTIF($E$5:$E$24,"&gt;"&amp;E20)+COUNTIF($E$5:E20,E20))</f>
        <v/>
      </c>
    </row>
    <row r="21">
      <c r="A21" s="18" t="n"/>
      <c r="B21" s="17" t="n"/>
      <c r="C21" s="17" t="n"/>
      <c r="D21" s="17" t="n"/>
      <c r="E21" s="23">
        <f>IF(OR(C21="",D21=""),"",C21*D21)</f>
        <v/>
      </c>
      <c r="F21" s="23">
        <f>IF(E21="","",COUNTIF($E$5:$E$24,"&gt;"&amp;E21)+COUNTIF($E$5:E21,E21))</f>
        <v/>
      </c>
    </row>
    <row r="22">
      <c r="A22" s="18" t="n"/>
      <c r="B22" s="17" t="n"/>
      <c r="C22" s="17" t="n"/>
      <c r="D22" s="17" t="n"/>
      <c r="E22" s="23">
        <f>IF(OR(C22="",D22=""),"",C22*D22)</f>
        <v/>
      </c>
      <c r="F22" s="23">
        <f>IF(E22="","",COUNTIF($E$5:$E$24,"&gt;"&amp;E22)+COUNTIF($E$5:E22,E22))</f>
        <v/>
      </c>
    </row>
    <row r="23">
      <c r="A23" s="18" t="n"/>
      <c r="B23" s="17" t="n"/>
      <c r="C23" s="17" t="n"/>
      <c r="D23" s="17" t="n"/>
      <c r="E23" s="23">
        <f>IF(OR(C23="",D23=""),"",C23*D23)</f>
        <v/>
      </c>
      <c r="F23" s="23">
        <f>IF(E23="","",COUNTIF($E$5:$E$24,"&gt;"&amp;E23)+COUNTIF($E$5:E23,E23))</f>
        <v/>
      </c>
    </row>
    <row r="24">
      <c r="A24" s="18" t="n"/>
      <c r="B24" s="17" t="n"/>
      <c r="C24" s="17" t="n"/>
      <c r="D24" s="17" t="n"/>
      <c r="E24" s="23">
        <f>IF(OR(C24="",D24=""),"",C24*D24)</f>
        <v/>
      </c>
      <c r="F24" s="23">
        <f>IF(E24="","",COUNTIF($E$5:$E$24,"&gt;"&amp;E24)+COUNTIF($E$5:E24,E24))</f>
        <v/>
      </c>
    </row>
    <row r="26">
      <c r="A26" s="9" t="inlineStr">
        <is>
          <t>Prioridade = impacto × facilidade. Comece pelas causas de maior prioridade (ordem 1, 2, 3).</t>
        </is>
      </c>
    </row>
  </sheetData>
  <mergeCells count="2">
    <mergeCell ref="A2:F2"/>
    <mergeCell ref="A1:F1"/>
  </mergeCells>
  <conditionalFormatting sqref="E5:E24">
    <cfRule type="cellIs" priority="1" operator="greaterThanOrEqual" dxfId="2">
      <formula>15</formula>
    </cfRule>
  </conditionalFormatting>
  <dataValidations count="2">
    <dataValidation sqref="B5:B24" showDropDown="0" showInputMessage="0" showErrorMessage="0" allowBlank="1" errorTitle="Valor fora da lista" error="Escolha uma das 6 categorias." type="list">
      <formula1>"Método,Máquina,Mão de obra,Material,Medida,Meio ambiente"</formula1>
    </dataValidation>
    <dataValidation sqref="C5:D24" showDropDown="0" showInputMessage="0" showErrorMessage="0" allowBlank="0" errorTitle="Nota inválida" error="Digite um número inteiro de 1 a 5.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</row>
    <row r="2" ht="30" customHeight="1">
      <c r="A2" s="3" t="inlineStr">
        <is>
          <t>Ciclo PDCA  —  indicador medido contra a meta</t>
        </is>
      </c>
      <c r="B2" s="4" t="n"/>
      <c r="C2" s="4" t="n"/>
      <c r="D2" s="4" t="n"/>
      <c r="E2" s="4" t="n"/>
    </row>
    <row r="4" ht="36" customHeight="1">
      <c r="A4" s="16" t="inlineStr">
        <is>
          <t>Período</t>
        </is>
      </c>
      <c r="B4" s="16" t="inlineStr">
        <is>
          <t>Meta</t>
        </is>
      </c>
      <c r="C4" s="16" t="inlineStr">
        <is>
          <t>Resultado</t>
        </is>
      </c>
      <c r="D4" s="16" t="inlineStr">
        <is>
          <t>Diferença</t>
        </is>
      </c>
      <c r="E4" s="16" t="inlineStr">
        <is>
          <t>Atingiu a meta?</t>
        </is>
      </c>
    </row>
    <row r="5">
      <c r="A5" s="17" t="inlineStr">
        <is>
          <t>Semana 1</t>
        </is>
      </c>
      <c r="B5" s="24">
        <f>IF(A5="","",PDCA!$B$7)</f>
        <v/>
      </c>
      <c r="C5" s="25" t="n">
        <v>9.199999999999999</v>
      </c>
      <c r="D5" s="26">
        <f>IF(C5="","",C5-B5)</f>
        <v/>
      </c>
      <c r="E5" s="23">
        <f>IF(C5="","",IF(PDCA!$B$8="Sim",IF(C5&lt;=B5,"Sim","Não"),IF(C5&gt;=B5,"Sim","Não")))</f>
        <v/>
      </c>
    </row>
    <row r="6">
      <c r="A6" s="17" t="inlineStr">
        <is>
          <t>Semana 2</t>
        </is>
      </c>
      <c r="B6" s="24">
        <f>IF(A6="","",PDCA!$B$7)</f>
        <v/>
      </c>
      <c r="C6" s="25" t="n">
        <v>8.800000000000001</v>
      </c>
      <c r="D6" s="26">
        <f>IF(C6="","",C6-B6)</f>
        <v/>
      </c>
      <c r="E6" s="23">
        <f>IF(C6="","",IF(PDCA!$B$8="Sim",IF(C6&lt;=B6,"Sim","Não"),IF(C6&gt;=B6,"Sim","Não")))</f>
        <v/>
      </c>
    </row>
    <row r="7">
      <c r="A7" s="17" t="inlineStr">
        <is>
          <t>Semana 3</t>
        </is>
      </c>
      <c r="B7" s="24">
        <f>IF(A7="","",PDCA!$B$7)</f>
        <v/>
      </c>
      <c r="C7" s="25" t="n">
        <v>7.1</v>
      </c>
      <c r="D7" s="26">
        <f>IF(C7="","",C7-B7)</f>
        <v/>
      </c>
      <c r="E7" s="23">
        <f>IF(C7="","",IF(PDCA!$B$8="Sim",IF(C7&lt;=B7,"Sim","Não"),IF(C7&gt;=B7,"Sim","Não")))</f>
        <v/>
      </c>
    </row>
    <row r="8">
      <c r="A8" s="17" t="inlineStr">
        <is>
          <t>Semana 4</t>
        </is>
      </c>
      <c r="B8" s="24">
        <f>IF(A8="","",PDCA!$B$7)</f>
        <v/>
      </c>
      <c r="C8" s="25" t="n">
        <v>6</v>
      </c>
      <c r="D8" s="26">
        <f>IF(C8="","",C8-B8)</f>
        <v/>
      </c>
      <c r="E8" s="23">
        <f>IF(C8="","",IF(PDCA!$B$8="Sim",IF(C8&lt;=B8,"Sim","Não"),IF(C8&gt;=B8,"Sim","Não")))</f>
        <v/>
      </c>
    </row>
    <row r="9">
      <c r="A9" s="17" t="inlineStr">
        <is>
          <t>Semana 5</t>
        </is>
      </c>
      <c r="B9" s="24">
        <f>IF(A9="","",PDCA!$B$7)</f>
        <v/>
      </c>
      <c r="C9" s="25" t="n">
        <v>5.2</v>
      </c>
      <c r="D9" s="26">
        <f>IF(C9="","",C9-B9)</f>
        <v/>
      </c>
      <c r="E9" s="23">
        <f>IF(C9="","",IF(PDCA!$B$8="Sim",IF(C9&lt;=B9,"Sim","Não"),IF(C9&gt;=B9,"Sim","Não")))</f>
        <v/>
      </c>
    </row>
    <row r="10">
      <c r="A10" s="17" t="inlineStr">
        <is>
          <t>Semana 6</t>
        </is>
      </c>
      <c r="B10" s="24">
        <f>IF(A10="","",PDCA!$B$7)</f>
        <v/>
      </c>
      <c r="C10" s="25" t="n">
        <v>4.6</v>
      </c>
      <c r="D10" s="26">
        <f>IF(C10="","",C10-B10)</f>
        <v/>
      </c>
      <c r="E10" s="23">
        <f>IF(C10="","",IF(PDCA!$B$8="Sim",IF(C10&lt;=B10,"Sim","Não"),IF(C10&gt;=B10,"Sim","Não")))</f>
        <v/>
      </c>
    </row>
    <row r="11">
      <c r="A11" s="17" t="inlineStr">
        <is>
          <t>Semana 7</t>
        </is>
      </c>
      <c r="B11" s="24">
        <f>IF(A11="","",PDCA!$B$7)</f>
        <v/>
      </c>
      <c r="C11" s="25" t="n">
        <v>4.1</v>
      </c>
      <c r="D11" s="26">
        <f>IF(C11="","",C11-B11)</f>
        <v/>
      </c>
      <c r="E11" s="23">
        <f>IF(C11="","",IF(PDCA!$B$8="Sim",IF(C11&lt;=B11,"Sim","Não"),IF(C11&gt;=B11,"Sim","Não")))</f>
        <v/>
      </c>
    </row>
    <row r="12">
      <c r="A12" s="17" t="inlineStr">
        <is>
          <t>Semana 8</t>
        </is>
      </c>
      <c r="B12" s="24">
        <f>IF(A12="","",PDCA!$B$7)</f>
        <v/>
      </c>
      <c r="C12" s="25" t="n">
        <v>3.8</v>
      </c>
      <c r="D12" s="26">
        <f>IF(C12="","",C12-B12)</f>
        <v/>
      </c>
      <c r="E12" s="23">
        <f>IF(C12="","",IF(PDCA!$B$8="Sim",IF(C12&lt;=B12,"Sim","Não"),IF(C12&gt;=B12,"Sim","Não")))</f>
        <v/>
      </c>
    </row>
    <row r="13">
      <c r="A13" s="17" t="n"/>
      <c r="B13" s="24">
        <f>IF(A13="","",PDCA!$B$7)</f>
        <v/>
      </c>
      <c r="C13" s="25" t="n"/>
      <c r="D13" s="26">
        <f>IF(C13="","",C13-B13)</f>
        <v/>
      </c>
      <c r="E13" s="23">
        <f>IF(C13="","",IF(PDCA!$B$8="Sim",IF(C13&lt;=B13,"Sim","Não"),IF(C13&gt;=B13,"Sim","Não")))</f>
        <v/>
      </c>
    </row>
    <row r="14">
      <c r="A14" s="17" t="n"/>
      <c r="B14" s="24">
        <f>IF(A14="","",PDCA!$B$7)</f>
        <v/>
      </c>
      <c r="C14" s="25" t="n"/>
      <c r="D14" s="26">
        <f>IF(C14="","",C14-B14)</f>
        <v/>
      </c>
      <c r="E14" s="23">
        <f>IF(C14="","",IF(PDCA!$B$8="Sim",IF(C14&lt;=B14,"Sim","Não"),IF(C14&gt;=B14,"Sim","Não")))</f>
        <v/>
      </c>
    </row>
    <row r="15">
      <c r="A15" s="17" t="n"/>
      <c r="B15" s="24">
        <f>IF(A15="","",PDCA!$B$7)</f>
        <v/>
      </c>
      <c r="C15" s="25" t="n"/>
      <c r="D15" s="26">
        <f>IF(C15="","",C15-B15)</f>
        <v/>
      </c>
      <c r="E15" s="23">
        <f>IF(C15="","",IF(PDCA!$B$8="Sim",IF(C15&lt;=B15,"Sim","Não"),IF(C15&gt;=B15,"Sim","Não")))</f>
        <v/>
      </c>
    </row>
    <row r="16">
      <c r="A16" s="17" t="n"/>
      <c r="B16" s="24">
        <f>IF(A16="","",PDCA!$B$7)</f>
        <v/>
      </c>
      <c r="C16" s="25" t="n"/>
      <c r="D16" s="26">
        <f>IF(C16="","",C16-B16)</f>
        <v/>
      </c>
      <c r="E16" s="23">
        <f>IF(C16="","",IF(PDCA!$B$8="Sim",IF(C16&lt;=B16,"Sim","Não"),IF(C16&gt;=B16,"Sim","Não")))</f>
        <v/>
      </c>
    </row>
    <row r="17">
      <c r="A17" s="17" t="n"/>
      <c r="B17" s="24">
        <f>IF(A17="","",PDCA!$B$7)</f>
        <v/>
      </c>
      <c r="C17" s="25" t="n"/>
      <c r="D17" s="26">
        <f>IF(C17="","",C17-B17)</f>
        <v/>
      </c>
      <c r="E17" s="23">
        <f>IF(C17="","",IF(PDCA!$B$8="Sim",IF(C17&lt;=B17,"Sim","Não"),IF(C17&gt;=B17,"Sim","Não")))</f>
        <v/>
      </c>
    </row>
    <row r="18">
      <c r="A18" s="17" t="n"/>
      <c r="B18" s="24">
        <f>IF(A18="","",PDCA!$B$7)</f>
        <v/>
      </c>
      <c r="C18" s="25" t="n"/>
      <c r="D18" s="26">
        <f>IF(C18="","",C18-B18)</f>
        <v/>
      </c>
      <c r="E18" s="23">
        <f>IF(C18="","",IF(PDCA!$B$8="Sim",IF(C18&lt;=B18,"Sim","Não"),IF(C18&gt;=B18,"Sim","Não")))</f>
        <v/>
      </c>
    </row>
    <row r="19">
      <c r="A19" s="17" t="n"/>
      <c r="B19" s="24">
        <f>IF(A19="","",PDCA!$B$7)</f>
        <v/>
      </c>
      <c r="C19" s="25" t="n"/>
      <c r="D19" s="26">
        <f>IF(C19="","",C19-B19)</f>
        <v/>
      </c>
      <c r="E19" s="23">
        <f>IF(C19="","",IF(PDCA!$B$8="Sim",IF(C19&lt;=B19,"Sim","Não"),IF(C19&gt;=B19,"Sim","Não")))</f>
        <v/>
      </c>
    </row>
    <row r="20">
      <c r="A20" s="17" t="n"/>
      <c r="B20" s="24">
        <f>IF(A20="","",PDCA!$B$7)</f>
        <v/>
      </c>
      <c r="C20" s="25" t="n"/>
      <c r="D20" s="26">
        <f>IF(C20="","",C20-B20)</f>
        <v/>
      </c>
      <c r="E20" s="23">
        <f>IF(C20="","",IF(PDCA!$B$8="Sim",IF(C20&lt;=B20,"Sim","Não"),IF(C20&gt;=B20,"Sim","Não")))</f>
        <v/>
      </c>
    </row>
    <row r="21">
      <c r="A21" s="17" t="n"/>
      <c r="B21" s="24">
        <f>IF(A21="","",PDCA!$B$7)</f>
        <v/>
      </c>
      <c r="C21" s="25" t="n"/>
      <c r="D21" s="26">
        <f>IF(C21="","",C21-B21)</f>
        <v/>
      </c>
      <c r="E21" s="23">
        <f>IF(C21="","",IF(PDCA!$B$8="Sim",IF(C21&lt;=B21,"Sim","Não"),IF(C21&gt;=B21,"Sim","Não")))</f>
        <v/>
      </c>
    </row>
    <row r="22">
      <c r="A22" s="17" t="n"/>
      <c r="B22" s="24">
        <f>IF(A22="","",PDCA!$B$7)</f>
        <v/>
      </c>
      <c r="C22" s="25" t="n"/>
      <c r="D22" s="26">
        <f>IF(C22="","",C22-B22)</f>
        <v/>
      </c>
      <c r="E22" s="23">
        <f>IF(C22="","",IF(PDCA!$B$8="Sim",IF(C22&lt;=B22,"Sim","Não"),IF(C22&gt;=B22,"Sim","Não")))</f>
        <v/>
      </c>
    </row>
    <row r="23">
      <c r="A23" s="17" t="n"/>
      <c r="B23" s="24">
        <f>IF(A23="","",PDCA!$B$7)</f>
        <v/>
      </c>
      <c r="C23" s="25" t="n"/>
      <c r="D23" s="26">
        <f>IF(C23="","",C23-B23)</f>
        <v/>
      </c>
      <c r="E23" s="23">
        <f>IF(C23="","",IF(PDCA!$B$8="Sim",IF(C23&lt;=B23,"Sim","Não"),IF(C23&gt;=B23,"Sim","Não")))</f>
        <v/>
      </c>
    </row>
    <row r="24">
      <c r="A24" s="17" t="n"/>
      <c r="B24" s="24">
        <f>IF(A24="","",PDCA!$B$7)</f>
        <v/>
      </c>
      <c r="C24" s="25" t="n"/>
      <c r="D24" s="26">
        <f>IF(C24="","",C24-B24)</f>
        <v/>
      </c>
      <c r="E24" s="23">
        <f>IF(C24="","",IF(PDCA!$B$8="Sim",IF(C24&lt;=B24,"Sim","Não"),IF(C24&gt;=B24,"Sim","Não")))</f>
        <v/>
      </c>
    </row>
    <row r="25">
      <c r="A25" s="17" t="n"/>
      <c r="B25" s="24">
        <f>IF(A25="","",PDCA!$B$7)</f>
        <v/>
      </c>
      <c r="C25" s="25" t="n"/>
      <c r="D25" s="26">
        <f>IF(C25="","",C25-B25)</f>
        <v/>
      </c>
      <c r="E25" s="23">
        <f>IF(C25="","",IF(PDCA!$B$8="Sim",IF(C25&lt;=B25,"Sim","Não"),IF(C25&gt;=B25,"Sim","Não")))</f>
        <v/>
      </c>
    </row>
    <row r="26">
      <c r="A26" s="17" t="n"/>
      <c r="B26" s="24">
        <f>IF(A26="","",PDCA!$B$7)</f>
        <v/>
      </c>
      <c r="C26" s="25" t="n"/>
      <c r="D26" s="26">
        <f>IF(C26="","",C26-B26)</f>
        <v/>
      </c>
      <c r="E26" s="23">
        <f>IF(C26="","",IF(PDCA!$B$8="Sim",IF(C26&lt;=B26,"Sim","Não"),IF(C26&gt;=B26,"Sim","Não")))</f>
        <v/>
      </c>
    </row>
    <row r="27">
      <c r="A27" s="17" t="n"/>
      <c r="B27" s="24">
        <f>IF(A27="","",PDCA!$B$7)</f>
        <v/>
      </c>
      <c r="C27" s="25" t="n"/>
      <c r="D27" s="26">
        <f>IF(C27="","",C27-B27)</f>
        <v/>
      </c>
      <c r="E27" s="23">
        <f>IF(C27="","",IF(PDCA!$B$8="Sim",IF(C27&lt;=B27,"Sim","Não"),IF(C27&gt;=B27,"Sim","Não")))</f>
        <v/>
      </c>
    </row>
    <row r="28">
      <c r="A28" s="17" t="n"/>
      <c r="B28" s="24">
        <f>IF(A28="","",PDCA!$B$7)</f>
        <v/>
      </c>
      <c r="C28" s="25" t="n"/>
      <c r="D28" s="26">
        <f>IF(C28="","",C28-B28)</f>
        <v/>
      </c>
      <c r="E28" s="23">
        <f>IF(C28="","",IF(PDCA!$B$8="Sim",IF(C28&lt;=B28,"Sim","Não"),IF(C28&gt;=B28,"Sim","Não")))</f>
        <v/>
      </c>
    </row>
  </sheetData>
  <mergeCells count="2">
    <mergeCell ref="A2:E2"/>
    <mergeCell ref="A1:E1"/>
  </mergeCells>
  <conditionalFormatting sqref="E5:E28">
    <cfRule type="cellIs" priority="1" operator="equal" dxfId="0">
      <formula>"Sim"</formula>
    </cfRule>
    <cfRule type="cellIs" priority="2" operator="equal" dxfId="2">
      <formula>"Não"</formula>
    </cfRule>
  </conditionalFormatting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Jonatas Magalhães</dc:creator>
  <dcterms:created xmlns:dcterms="http://purl.org/dc/terms/" xmlns:xsi="http://www.w3.org/2001/XMLSchema-instance" xsi:type="dcterms:W3CDTF">2026-10-27T21:37:23Z</dcterms:created>
  <dcterms:modified xmlns:dcterms="http://purl.org/dc/terms/" xmlns:xsi="http://www.w3.org/2001/XMLSchema-instance" xsi:type="dcterms:W3CDTF">2026-10-27T21:37:23Z</dcterms:modified>
</cp:coreProperties>
</file>