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lano de açã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2238"/>
      <sz val="14"/>
    </font>
    <font>
      <name val="Arial"/>
      <sz val="10"/>
    </font>
    <font>
      <name val="Arial"/>
      <sz val="11"/>
    </font>
    <font>
      <name val="Arial"/>
      <b val="1"/>
      <sz val="11"/>
    </font>
    <font>
      <name val="Arial"/>
      <b val="1"/>
      <color rgb="000C2238"/>
      <sz val="12"/>
    </font>
    <font>
      <name val="Arial"/>
      <b val="1"/>
      <color rgb="00E8A33D"/>
      <sz val="11"/>
    </font>
    <font>
      <name val="Arial"/>
      <color rgb="0056687A"/>
      <sz val="10"/>
    </font>
    <font>
      <name val="Arial"/>
      <color rgb="0056687A"/>
      <sz val="9"/>
    </font>
  </fonts>
  <fills count="6">
    <fill>
      <patternFill/>
    </fill>
    <fill>
      <patternFill patternType="gray125"/>
    </fill>
    <fill>
      <patternFill patternType="solid">
        <fgColor rgb="000C2238"/>
      </patternFill>
    </fill>
    <fill>
      <patternFill patternType="solid">
        <fgColor rgb="00163452"/>
      </patternFill>
    </fill>
    <fill>
      <patternFill patternType="solid">
        <fgColor rgb="00FFF8E8"/>
      </patternFill>
    </fill>
    <fill>
      <patternFill patternType="solid">
        <fgColor rgb="00E9EEF3"/>
      </patternFill>
    </fill>
  </fills>
  <borders count="4">
    <border>
      <left/>
      <right/>
      <top/>
      <bottom/>
      <diagonal/>
    </border>
    <border>
      <bottom style="medium">
        <color rgb="00E8A33D"/>
      </bottom>
    </border>
    <border>
      <left/>
      <right/>
      <top/>
      <bottom style="medium">
        <color rgb="00E8A33D"/>
      </bottom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1" applyAlignment="1" pivotButton="0" quotePrefix="0" xfId="0">
      <alignment vertical="center" indent="1"/>
    </xf>
    <xf numFmtId="0" fontId="0" fillId="0" borderId="2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right" vertical="top"/>
    </xf>
    <xf numFmtId="0" fontId="0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top"/>
    </xf>
    <xf numFmtId="0" fontId="3" fillId="4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165" fontId="3" fillId="4" borderId="3" applyAlignment="1" pivotButton="0" quotePrefix="0" xfId="0">
      <alignment vertical="top"/>
    </xf>
    <xf numFmtId="166" fontId="3" fillId="4" borderId="3" applyAlignment="1" pivotButton="0" quotePrefix="0" xfId="0">
      <alignment vertical="top"/>
    </xf>
    <xf numFmtId="1" fontId="3" fillId="0" borderId="3" applyAlignment="1" pivotButton="0" quotePrefix="0" xfId="0">
      <alignment vertical="top"/>
    </xf>
    <xf numFmtId="0" fontId="4" fillId="0" borderId="0" pivotButton="0" quotePrefix="0" xfId="0"/>
    <xf numFmtId="1" fontId="5" fillId="5" borderId="3" pivotButton="0" quotePrefix="0" xfId="0"/>
    <xf numFmtId="167" fontId="5" fillId="5" borderId="3" pivotButton="0" quotePrefix="0" xfId="0"/>
    <xf numFmtId="166" fontId="5" fillId="5" borderId="3" pivotButton="0" quotePrefix="0" xfId="0"/>
  </cellXfs>
  <cellStyles count="1">
    <cellStyle name="Normal" xfId="0" builtinId="0" hidden="0"/>
  </cellStyles>
  <dxfs count="3">
    <dxf>
      <fill>
        <patternFill patternType="solid">
          <fgColor rgb="00E3F4EC"/>
        </patternFill>
      </fill>
    </dxf>
    <dxf>
      <fill>
        <patternFill patternType="solid">
          <fgColor rgb="00FBF0DC"/>
        </patternFill>
      </fill>
    </dxf>
    <dxf>
      <fill>
        <patternFill patternType="solid">
          <fgColor rgb="00FBE5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Plano de ação 5W2H</t>
        </is>
      </c>
      <c r="B2" s="4" t="n"/>
      <c r="C2" s="4" t="n"/>
    </row>
    <row r="4">
      <c r="B4" s="5" t="inlineStr">
        <is>
          <t>Para que serve</t>
        </is>
      </c>
    </row>
    <row r="5" ht="30" customHeight="1">
      <c r="C5" s="6" t="inlineStr">
        <is>
          <t>Transformar uma meta em ações concretas, com responsável, prazo, local, método e custo definidos, e acompanhar o andamento até a conclusão.</t>
        </is>
      </c>
    </row>
    <row r="7">
      <c r="B7" s="5" t="inlineStr">
        <is>
          <t>Passo a passo</t>
        </is>
      </c>
    </row>
    <row r="8" ht="15" customHeight="1">
      <c r="B8" s="7" t="n">
        <v>1</v>
      </c>
      <c r="C8" s="6" t="inlineStr">
        <is>
          <t>Escreva a meta do plano no título (linha 2 da aba Plano de ação).</t>
        </is>
      </c>
    </row>
    <row r="9" ht="30" customHeight="1">
      <c r="B9" s="7" t="n">
        <v>2</v>
      </c>
      <c r="C9" s="6" t="inlineStr">
        <is>
          <t>Para cada ação, responda as 7 perguntas: o quê, por quê, onde, quem, quando, como e quanto custa.</t>
        </is>
      </c>
    </row>
    <row r="10" ht="15" customHeight="1">
      <c r="B10" s="7" t="n">
        <v>3</v>
      </c>
      <c r="C10" s="6" t="inlineStr">
        <is>
          <t>Use um responsável por ação, com o nome escrito sempre do mesmo jeito.</t>
        </is>
      </c>
    </row>
    <row r="11" ht="15" customHeight="1">
      <c r="B11" s="7" t="n">
        <v>4</v>
      </c>
      <c r="C11" s="6" t="inlineStr">
        <is>
          <t>Atualize a coluna Status toda semana. Ao concluir, digite a data de conclusão.</t>
        </is>
      </c>
    </row>
    <row r="12" ht="15" customHeight="1">
      <c r="B12" s="7" t="n">
        <v>5</v>
      </c>
      <c r="C12" s="6" t="inlineStr">
        <is>
          <t>A coluna Situação avisa sozinha o que está atrasado ou vence nos próximos 7 dias.</t>
        </is>
      </c>
    </row>
    <row r="13" ht="15" customHeight="1">
      <c r="B13" s="7" t="n">
        <v>6</v>
      </c>
      <c r="C13" s="6" t="inlineStr">
        <is>
          <t>Na aba Resumo, digite os nomes dos responsáveis para ver as ações e os atrasos de cada um.</t>
        </is>
      </c>
    </row>
    <row r="14" ht="15" customHeight="1">
      <c r="B14" s="7" t="n">
        <v>7</v>
      </c>
      <c r="C14" s="6" t="inlineStr">
        <is>
          <t>Leve a aba Resumo para a reunião semanal e decida o que fazer com cada ação atrasada.</t>
        </is>
      </c>
    </row>
    <row r="16">
      <c r="B16" s="5" t="inlineStr">
        <is>
          <t>Bom saber</t>
        </is>
      </c>
    </row>
    <row r="17" ht="15" customHeight="1">
      <c r="C17" s="6" t="inlineStr">
        <is>
          <t>Ação boa começa com verbo e cabe numa frase: "Treinar a equipe no recebimento".</t>
        </is>
      </c>
    </row>
    <row r="18" ht="15" customHeight="1">
      <c r="C18" s="6" t="inlineStr">
        <is>
          <t>Prazo sem data não é prazo. Se não souber a data exata, combine uma data de revisão.</t>
        </is>
      </c>
    </row>
    <row r="19" ht="30" customHeight="1">
      <c r="C19" s="6" t="inlineStr">
        <is>
          <t>Os dados de exemplo usam datas de nov./2026 a jan./2027; a situação muda conforme a data de hoje.</t>
        </is>
      </c>
    </row>
    <row r="21">
      <c r="B21" s="8" t="n"/>
      <c r="C21" s="9" t="inlineStr">
        <is>
          <t>Células nesta cor: você digita. As demais são calculadas e não precisam ser alteradas.</t>
        </is>
      </c>
    </row>
    <row r="22">
      <c r="C22" s="9" t="inlineStr">
        <is>
          <t>Procedimento de implantação: POP-F02 (baixe junto no painel).  Os dados de exemplo são fictícios.</t>
        </is>
      </c>
    </row>
    <row r="24">
      <c r="C24" s="10" t="inlineStr">
        <is>
          <t>jonatasmag.github.io  |  chazaq.adm@gmail.com  |  (47) 98849-9129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6" customWidth="1" min="4" max="4"/>
    <col width="16" customWidth="1" min="5" max="5"/>
    <col width="12" customWidth="1" min="6" max="6"/>
    <col width="12" customWidth="1" min="7" max="7"/>
    <col width="34" customWidth="1" min="8" max="8"/>
    <col width="14" customWidth="1" min="9" max="9"/>
    <col width="14" customWidth="1" min="10" max="10"/>
    <col width="12" customWidth="1" min="11" max="11"/>
    <col width="16" customWidth="1" min="12" max="12"/>
    <col width="11" customWidth="1" min="13" max="1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0" customHeight="1">
      <c r="A2" s="3" t="inlineStr">
        <is>
          <t>Plano de ação 5W2H  —  objetivo: reduzir a ruptura de estoque para menos de 5%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36" customHeight="1">
      <c r="A4" s="11" t="inlineStr">
        <is>
          <t>Nº</t>
        </is>
      </c>
      <c r="B4" s="11" t="inlineStr">
        <is>
          <t>O quê (What)</t>
        </is>
      </c>
      <c r="C4" s="11" t="inlineStr">
        <is>
          <t>Por quê (Why)</t>
        </is>
      </c>
      <c r="D4" s="11" t="inlineStr">
        <is>
          <t>Onde (Where)</t>
        </is>
      </c>
      <c r="E4" s="11" t="inlineStr">
        <is>
          <t>Quem (Who)</t>
        </is>
      </c>
      <c r="F4" s="11" t="inlineStr">
        <is>
          <t>Início</t>
        </is>
      </c>
      <c r="G4" s="11" t="inlineStr">
        <is>
          <t>Prazo (When)</t>
        </is>
      </c>
      <c r="H4" s="11" t="inlineStr">
        <is>
          <t>Como (How)</t>
        </is>
      </c>
      <c r="I4" s="11" t="inlineStr">
        <is>
          <t>Quanto custa (How much)</t>
        </is>
      </c>
      <c r="J4" s="11" t="inlineStr">
        <is>
          <t>Status</t>
        </is>
      </c>
      <c r="K4" s="11" t="inlineStr">
        <is>
          <t>Concluída em</t>
        </is>
      </c>
      <c r="L4" s="11" t="inlineStr">
        <is>
          <t>Situação</t>
        </is>
      </c>
      <c r="M4" s="11" t="inlineStr">
        <is>
          <t>Dias para o prazo</t>
        </is>
      </c>
    </row>
    <row r="5">
      <c r="A5" s="12" t="n">
        <v>1</v>
      </c>
      <c r="B5" s="13" t="inlineStr">
        <is>
          <t>Classificar os produtos na curva ABC</t>
        </is>
      </c>
      <c r="C5" s="13" t="inlineStr">
        <is>
          <t>Saber quais itens contar e comprar com mais atenção</t>
        </is>
      </c>
      <c r="D5" s="14" t="inlineStr">
        <is>
          <t>Estoque</t>
        </is>
      </c>
      <c r="E5" s="14" t="inlineStr">
        <is>
          <t>Ana (estoque)</t>
        </is>
      </c>
      <c r="F5" s="15" t="n">
        <v>46329</v>
      </c>
      <c r="G5" s="15" t="n">
        <v>46333</v>
      </c>
      <c r="H5" s="13" t="inlineStr">
        <is>
          <t>Exportar as vendas de 12 meses e ordenar por valor</t>
        </is>
      </c>
      <c r="I5" s="16" t="n">
        <v>0</v>
      </c>
      <c r="J5" s="14" t="inlineStr">
        <is>
          <t>Concluída</t>
        </is>
      </c>
      <c r="K5" s="15" t="n">
        <v>46332</v>
      </c>
      <c r="L5" s="12">
        <f>IF(B5="","",IF(J5="Concluída","Concluída",IF(J5="Cancelada","Cancelada",IF(G5="","Sem prazo",IF(G5&lt;TODAY(),"Atrasada",IF(G5-TODAY()&lt;=7,"Vence em 7 dias","No prazo"))))))</f>
        <v/>
      </c>
      <c r="M5" s="17">
        <f>IF(OR(B5="",G5="",J5="Concluída",J5="Cancelada"),"",G5-TODAY())</f>
        <v/>
      </c>
    </row>
    <row r="6">
      <c r="A6" s="12" t="n">
        <v>2</v>
      </c>
      <c r="B6" s="13" t="inlineStr">
        <is>
          <t>Definir ponto de pedido dos itens A</t>
        </is>
      </c>
      <c r="C6" s="13" t="inlineStr">
        <is>
          <t>Comprar antes de faltar</t>
        </is>
      </c>
      <c r="D6" s="14" t="inlineStr">
        <is>
          <t>Compras</t>
        </is>
      </c>
      <c r="E6" s="14" t="inlineStr">
        <is>
          <t>Bruno (compras)</t>
        </is>
      </c>
      <c r="F6" s="15" t="n">
        <v>46336</v>
      </c>
      <c r="G6" s="15" t="n">
        <v>46347</v>
      </c>
      <c r="H6" s="13" t="inlineStr">
        <is>
          <t>Consumo médio diário × prazo do fornecedor + estoque de segurança</t>
        </is>
      </c>
      <c r="I6" s="16" t="n">
        <v>0</v>
      </c>
      <c r="J6" s="14" t="inlineStr">
        <is>
          <t>Em andamento</t>
        </is>
      </c>
      <c r="K6" s="15" t="n"/>
      <c r="L6" s="12">
        <f>IF(B6="","",IF(J6="Concluída","Concluída",IF(J6="Cancelada","Cancelada",IF(G6="","Sem prazo",IF(G6&lt;TODAY(),"Atrasada",IF(G6-TODAY()&lt;=7,"Vence em 7 dias","No prazo"))))))</f>
        <v/>
      </c>
      <c r="M6" s="17">
        <f>IF(OR(B6="",G6="",J6="Concluída",J6="Cancelada"),"",G6-TODAY())</f>
        <v/>
      </c>
    </row>
    <row r="7">
      <c r="A7" s="12" t="n">
        <v>3</v>
      </c>
      <c r="B7" s="13" t="inlineStr">
        <is>
          <t>Implantar contagem rotativa semanal</t>
        </is>
      </c>
      <c r="C7" s="13" t="inlineStr">
        <is>
          <t>Manter o estoque do sistema igual ao físico</t>
        </is>
      </c>
      <c r="D7" s="14" t="inlineStr">
        <is>
          <t>Estoque</t>
        </is>
      </c>
      <c r="E7" s="14" t="inlineStr">
        <is>
          <t>Ana (estoque)</t>
        </is>
      </c>
      <c r="F7" s="15" t="n">
        <v>46336</v>
      </c>
      <c r="G7" s="15" t="n">
        <v>46354</v>
      </c>
      <c r="H7" s="13" t="inlineStr">
        <is>
          <t>Seguir o POP de contagem rotativa</t>
        </is>
      </c>
      <c r="I7" s="16" t="n">
        <v>0</v>
      </c>
      <c r="J7" s="14" t="inlineStr">
        <is>
          <t>Em andamento</t>
        </is>
      </c>
      <c r="K7" s="15" t="n"/>
      <c r="L7" s="12">
        <f>IF(B7="","",IF(J7="Concluída","Concluída",IF(J7="Cancelada","Cancelada",IF(G7="","Sem prazo",IF(G7&lt;TODAY(),"Atrasada",IF(G7-TODAY()&lt;=7,"Vence em 7 dias","No prazo"))))))</f>
        <v/>
      </c>
      <c r="M7" s="17">
        <f>IF(OR(B7="",G7="",J7="Concluída",J7="Cancelada"),"",G7-TODAY())</f>
        <v/>
      </c>
    </row>
    <row r="8">
      <c r="A8" s="12" t="n">
        <v>4</v>
      </c>
      <c r="B8" s="13" t="inlineStr">
        <is>
          <t>Treinar a equipe no recebimento</t>
        </is>
      </c>
      <c r="C8" s="13" t="inlineStr">
        <is>
          <t>Evitar entradas erradas no sistema</t>
        </is>
      </c>
      <c r="D8" s="14" t="inlineStr">
        <is>
          <t>Depósito</t>
        </is>
      </c>
      <c r="E8" s="14" t="inlineStr">
        <is>
          <t>Carla (gerente)</t>
        </is>
      </c>
      <c r="F8" s="15" t="n">
        <v>46343</v>
      </c>
      <c r="G8" s="15" t="n">
        <v>46345</v>
      </c>
      <c r="H8" s="13" t="inlineStr">
        <is>
          <t>Treinamento de 2 horas com o POP de recebimento</t>
        </is>
      </c>
      <c r="I8" s="16" t="n">
        <v>300</v>
      </c>
      <c r="J8" s="14" t="inlineStr">
        <is>
          <t>Não iniciada</t>
        </is>
      </c>
      <c r="K8" s="15" t="n"/>
      <c r="L8" s="12">
        <f>IF(B8="","",IF(J8="Concluída","Concluída",IF(J8="Cancelada","Cancelada",IF(G8="","Sem prazo",IF(G8&lt;TODAY(),"Atrasada",IF(G8-TODAY()&lt;=7,"Vence em 7 dias","No prazo"))))))</f>
        <v/>
      </c>
      <c r="M8" s="17">
        <f>IF(OR(B8="",G8="",J8="Concluída",J8="Cancelada"),"",G8-TODAY())</f>
        <v/>
      </c>
    </row>
    <row r="9">
      <c r="A9" s="12" t="n">
        <v>5</v>
      </c>
      <c r="B9" s="13" t="inlineStr">
        <is>
          <t>Renegociar prazo com 3 fornecedores</t>
        </is>
      </c>
      <c r="C9" s="13" t="inlineStr">
        <is>
          <t>Reduzir o tempo de reposição</t>
        </is>
      </c>
      <c r="D9" s="14" t="inlineStr">
        <is>
          <t>Compras</t>
        </is>
      </c>
      <c r="E9" s="14" t="inlineStr">
        <is>
          <t>Bruno (compras)</t>
        </is>
      </c>
      <c r="F9" s="15" t="n">
        <v>46350</v>
      </c>
      <c r="G9" s="15" t="n">
        <v>46368</v>
      </c>
      <c r="H9" s="13" t="inlineStr">
        <is>
          <t>Reunião com cada fornecedor levando o histórico de atrasos</t>
        </is>
      </c>
      <c r="I9" s="16" t="n">
        <v>0</v>
      </c>
      <c r="J9" s="14" t="inlineStr">
        <is>
          <t>Não iniciada</t>
        </is>
      </c>
      <c r="K9" s="15" t="n"/>
      <c r="L9" s="12">
        <f>IF(B9="","",IF(J9="Concluída","Concluída",IF(J9="Cancelada","Cancelada",IF(G9="","Sem prazo",IF(G9&lt;TODAY(),"Atrasada",IF(G9-TODAY()&lt;=7,"Vence em 7 dias","No prazo"))))))</f>
        <v/>
      </c>
      <c r="M9" s="17">
        <f>IF(OR(B9="",G9="",J9="Concluída",J9="Cancelada"),"",G9-TODAY())</f>
        <v/>
      </c>
    </row>
    <row r="10">
      <c r="A10" s="12" t="n">
        <v>6</v>
      </c>
      <c r="B10" s="13" t="inlineStr">
        <is>
          <t>Criar painel de ruptura semanal</t>
        </is>
      </c>
      <c r="C10" s="13" t="inlineStr">
        <is>
          <t>Acompanhar o resultado toda semana</t>
        </is>
      </c>
      <c r="D10" s="14" t="inlineStr">
        <is>
          <t>Escritório</t>
        </is>
      </c>
      <c r="E10" s="14" t="inlineStr">
        <is>
          <t>Carla (gerente)</t>
        </is>
      </c>
      <c r="F10" s="15" t="n">
        <v>46357</v>
      </c>
      <c r="G10" s="15" t="n">
        <v>46368</v>
      </c>
      <c r="H10" s="13" t="inlineStr">
        <is>
          <t>Planilha de estoque ligada a um dashboard simples</t>
        </is>
      </c>
      <c r="I10" s="16" t="n">
        <v>800</v>
      </c>
      <c r="J10" s="14" t="inlineStr">
        <is>
          <t>Não iniciada</t>
        </is>
      </c>
      <c r="K10" s="15" t="n"/>
      <c r="L10" s="12">
        <f>IF(B10="","",IF(J10="Concluída","Concluída",IF(J10="Cancelada","Cancelada",IF(G10="","Sem prazo",IF(G10&lt;TODAY(),"Atrasada",IF(G10-TODAY()&lt;=7,"Vence em 7 dias","No prazo"))))))</f>
        <v/>
      </c>
      <c r="M10" s="17">
        <f>IF(OR(B10="",G10="",J10="Concluída",J10="Cancelada"),"",G10-TODAY())</f>
        <v/>
      </c>
    </row>
    <row r="11">
      <c r="A11" s="12" t="n">
        <v>7</v>
      </c>
      <c r="B11" s="13" t="inlineStr">
        <is>
          <t>Revisar o leiaute do depósito</t>
        </is>
      </c>
      <c r="C11" s="13" t="inlineStr">
        <is>
          <t>Achar e conferir produtos mais rápido</t>
        </is>
      </c>
      <c r="D11" s="14" t="inlineStr">
        <is>
          <t>Depósito</t>
        </is>
      </c>
      <c r="E11" s="14" t="inlineStr">
        <is>
          <t>Ana (estoque)</t>
        </is>
      </c>
      <c r="F11" s="15" t="n">
        <v>46364</v>
      </c>
      <c r="G11" s="15" t="n">
        <v>46403</v>
      </c>
      <c r="H11" s="13" t="inlineStr">
        <is>
          <t>Endereçar prateleiras e separar por curva ABC</t>
        </is>
      </c>
      <c r="I11" s="16" t="n">
        <v>1500</v>
      </c>
      <c r="J11" s="14" t="inlineStr">
        <is>
          <t>Não iniciada</t>
        </is>
      </c>
      <c r="K11" s="15" t="n"/>
      <c r="L11" s="12">
        <f>IF(B11="","",IF(J11="Concluída","Concluída",IF(J11="Cancelada","Cancelada",IF(G11="","Sem prazo",IF(G11&lt;TODAY(),"Atrasada",IF(G11-TODAY()&lt;=7,"Vence em 7 dias","No prazo"))))))</f>
        <v/>
      </c>
      <c r="M11" s="17">
        <f>IF(OR(B11="",G11="",J11="Concluída",J11="Cancelada"),"",G11-TODAY())</f>
        <v/>
      </c>
    </row>
    <row r="12">
      <c r="A12" s="12" t="n">
        <v>8</v>
      </c>
      <c r="B12" s="13" t="inlineStr">
        <is>
          <t>Reunião mensal de resultados</t>
        </is>
      </c>
      <c r="C12" s="13" t="inlineStr">
        <is>
          <t>Corrigir o que não funcionou</t>
        </is>
      </c>
      <c r="D12" s="14" t="inlineStr">
        <is>
          <t>Escritório</t>
        </is>
      </c>
      <c r="E12" s="14" t="inlineStr">
        <is>
          <t>Carla (gerente)</t>
        </is>
      </c>
      <c r="F12" s="15" t="n">
        <v>46392</v>
      </c>
      <c r="G12" s="15" t="n">
        <v>46392</v>
      </c>
      <c r="H12" s="13" t="inlineStr">
        <is>
          <t>Comparar ruptura antes e depois e definir novas ações</t>
        </is>
      </c>
      <c r="I12" s="16" t="n">
        <v>0</v>
      </c>
      <c r="J12" s="14" t="inlineStr">
        <is>
          <t>Não iniciada</t>
        </is>
      </c>
      <c r="K12" s="15" t="n"/>
      <c r="L12" s="12">
        <f>IF(B12="","",IF(J12="Concluída","Concluída",IF(J12="Cancelada","Cancelada",IF(G12="","Sem prazo",IF(G12&lt;TODAY(),"Atrasada",IF(G12-TODAY()&lt;=7,"Vence em 7 dias","No prazo"))))))</f>
        <v/>
      </c>
      <c r="M12" s="17">
        <f>IF(OR(B12="",G12="",J12="Concluída",J12="Cancelada"),"",G12-TODAY())</f>
        <v/>
      </c>
    </row>
    <row r="13">
      <c r="A13" s="12" t="n">
        <v>9</v>
      </c>
      <c r="B13" s="13" t="n"/>
      <c r="C13" s="13" t="n"/>
      <c r="D13" s="14" t="n"/>
      <c r="E13" s="14" t="n"/>
      <c r="F13" s="15" t="n"/>
      <c r="G13" s="15" t="n"/>
      <c r="H13" s="13" t="n"/>
      <c r="I13" s="16" t="n"/>
      <c r="J13" s="14" t="n"/>
      <c r="K13" s="15" t="n"/>
      <c r="L13" s="12">
        <f>IF(B13="","",IF(J13="Concluída","Concluída",IF(J13="Cancelada","Cancelada",IF(G13="","Sem prazo",IF(G13&lt;TODAY(),"Atrasada",IF(G13-TODAY()&lt;=7,"Vence em 7 dias","No prazo"))))))</f>
        <v/>
      </c>
      <c r="M13" s="17">
        <f>IF(OR(B13="",G13="",J13="Concluída",J13="Cancelada"),"",G13-TODAY())</f>
        <v/>
      </c>
    </row>
    <row r="14">
      <c r="A14" s="12" t="n">
        <v>10</v>
      </c>
      <c r="B14" s="13" t="n"/>
      <c r="C14" s="13" t="n"/>
      <c r="D14" s="14" t="n"/>
      <c r="E14" s="14" t="n"/>
      <c r="F14" s="15" t="n"/>
      <c r="G14" s="15" t="n"/>
      <c r="H14" s="13" t="n"/>
      <c r="I14" s="16" t="n"/>
      <c r="J14" s="14" t="n"/>
      <c r="K14" s="15" t="n"/>
      <c r="L14" s="12">
        <f>IF(B14="","",IF(J14="Concluída","Concluída",IF(J14="Cancelada","Cancelada",IF(G14="","Sem prazo",IF(G14&lt;TODAY(),"Atrasada",IF(G14-TODAY()&lt;=7,"Vence em 7 dias","No prazo"))))))</f>
        <v/>
      </c>
      <c r="M14" s="17">
        <f>IF(OR(B14="",G14="",J14="Concluída",J14="Cancelada"),"",G14-TODAY())</f>
        <v/>
      </c>
    </row>
    <row r="15">
      <c r="A15" s="12" t="n">
        <v>11</v>
      </c>
      <c r="B15" s="13" t="n"/>
      <c r="C15" s="13" t="n"/>
      <c r="D15" s="14" t="n"/>
      <c r="E15" s="14" t="n"/>
      <c r="F15" s="15" t="n"/>
      <c r="G15" s="15" t="n"/>
      <c r="H15" s="13" t="n"/>
      <c r="I15" s="16" t="n"/>
      <c r="J15" s="14" t="n"/>
      <c r="K15" s="15" t="n"/>
      <c r="L15" s="12">
        <f>IF(B15="","",IF(J15="Concluída","Concluída",IF(J15="Cancelada","Cancelada",IF(G15="","Sem prazo",IF(G15&lt;TODAY(),"Atrasada",IF(G15-TODAY()&lt;=7,"Vence em 7 dias","No prazo"))))))</f>
        <v/>
      </c>
      <c r="M15" s="17">
        <f>IF(OR(B15="",G15="",J15="Concluída",J15="Cancelada"),"",G15-TODAY())</f>
        <v/>
      </c>
    </row>
    <row r="16">
      <c r="A16" s="12" t="n">
        <v>12</v>
      </c>
      <c r="B16" s="13" t="n"/>
      <c r="C16" s="13" t="n"/>
      <c r="D16" s="14" t="n"/>
      <c r="E16" s="14" t="n"/>
      <c r="F16" s="15" t="n"/>
      <c r="G16" s="15" t="n"/>
      <c r="H16" s="13" t="n"/>
      <c r="I16" s="16" t="n"/>
      <c r="J16" s="14" t="n"/>
      <c r="K16" s="15" t="n"/>
      <c r="L16" s="12">
        <f>IF(B16="","",IF(J16="Concluída","Concluída",IF(J16="Cancelada","Cancelada",IF(G16="","Sem prazo",IF(G16&lt;TODAY(),"Atrasada",IF(G16-TODAY()&lt;=7,"Vence em 7 dias","No prazo"))))))</f>
        <v/>
      </c>
      <c r="M16" s="17">
        <f>IF(OR(B16="",G16="",J16="Concluída",J16="Cancelada"),"",G16-TODAY())</f>
        <v/>
      </c>
    </row>
    <row r="17">
      <c r="A17" s="12" t="n">
        <v>13</v>
      </c>
      <c r="B17" s="13" t="n"/>
      <c r="C17" s="13" t="n"/>
      <c r="D17" s="14" t="n"/>
      <c r="E17" s="14" t="n"/>
      <c r="F17" s="15" t="n"/>
      <c r="G17" s="15" t="n"/>
      <c r="H17" s="13" t="n"/>
      <c r="I17" s="16" t="n"/>
      <c r="J17" s="14" t="n"/>
      <c r="K17" s="15" t="n"/>
      <c r="L17" s="12">
        <f>IF(B17="","",IF(J17="Concluída","Concluída",IF(J17="Cancelada","Cancelada",IF(G17="","Sem prazo",IF(G17&lt;TODAY(),"Atrasada",IF(G17-TODAY()&lt;=7,"Vence em 7 dias","No prazo"))))))</f>
        <v/>
      </c>
      <c r="M17" s="17">
        <f>IF(OR(B17="",G17="",J17="Concluída",J17="Cancelada"),"",G17-TODAY())</f>
        <v/>
      </c>
    </row>
    <row r="18">
      <c r="A18" s="12" t="n">
        <v>14</v>
      </c>
      <c r="B18" s="13" t="n"/>
      <c r="C18" s="13" t="n"/>
      <c r="D18" s="14" t="n"/>
      <c r="E18" s="14" t="n"/>
      <c r="F18" s="15" t="n"/>
      <c r="G18" s="15" t="n"/>
      <c r="H18" s="13" t="n"/>
      <c r="I18" s="16" t="n"/>
      <c r="J18" s="14" t="n"/>
      <c r="K18" s="15" t="n"/>
      <c r="L18" s="12">
        <f>IF(B18="","",IF(J18="Concluída","Concluída",IF(J18="Cancelada","Cancelada",IF(G18="","Sem prazo",IF(G18&lt;TODAY(),"Atrasada",IF(G18-TODAY()&lt;=7,"Vence em 7 dias","No prazo"))))))</f>
        <v/>
      </c>
      <c r="M18" s="17">
        <f>IF(OR(B18="",G18="",J18="Concluída",J18="Cancelada"),"",G18-TODAY())</f>
        <v/>
      </c>
    </row>
    <row r="19">
      <c r="A19" s="12" t="n">
        <v>15</v>
      </c>
      <c r="B19" s="13" t="n"/>
      <c r="C19" s="13" t="n"/>
      <c r="D19" s="14" t="n"/>
      <c r="E19" s="14" t="n"/>
      <c r="F19" s="15" t="n"/>
      <c r="G19" s="15" t="n"/>
      <c r="H19" s="13" t="n"/>
      <c r="I19" s="16" t="n"/>
      <c r="J19" s="14" t="n"/>
      <c r="K19" s="15" t="n"/>
      <c r="L19" s="12">
        <f>IF(B19="","",IF(J19="Concluída","Concluída",IF(J19="Cancelada","Cancelada",IF(G19="","Sem prazo",IF(G19&lt;TODAY(),"Atrasada",IF(G19-TODAY()&lt;=7,"Vence em 7 dias","No prazo"))))))</f>
        <v/>
      </c>
      <c r="M19" s="17">
        <f>IF(OR(B19="",G19="",J19="Concluída",J19="Cancelada"),"",G19-TODAY())</f>
        <v/>
      </c>
    </row>
    <row r="20">
      <c r="A20" s="12" t="n">
        <v>16</v>
      </c>
      <c r="B20" s="13" t="n"/>
      <c r="C20" s="13" t="n"/>
      <c r="D20" s="14" t="n"/>
      <c r="E20" s="14" t="n"/>
      <c r="F20" s="15" t="n"/>
      <c r="G20" s="15" t="n"/>
      <c r="H20" s="13" t="n"/>
      <c r="I20" s="16" t="n"/>
      <c r="J20" s="14" t="n"/>
      <c r="K20" s="15" t="n"/>
      <c r="L20" s="12">
        <f>IF(B20="","",IF(J20="Concluída","Concluída",IF(J20="Cancelada","Cancelada",IF(G20="","Sem prazo",IF(G20&lt;TODAY(),"Atrasada",IF(G20-TODAY()&lt;=7,"Vence em 7 dias","No prazo"))))))</f>
        <v/>
      </c>
      <c r="M20" s="17">
        <f>IF(OR(B20="",G20="",J20="Concluída",J20="Cancelada"),"",G20-TODAY())</f>
        <v/>
      </c>
    </row>
    <row r="21">
      <c r="A21" s="12" t="n">
        <v>17</v>
      </c>
      <c r="B21" s="13" t="n"/>
      <c r="C21" s="13" t="n"/>
      <c r="D21" s="14" t="n"/>
      <c r="E21" s="14" t="n"/>
      <c r="F21" s="15" t="n"/>
      <c r="G21" s="15" t="n"/>
      <c r="H21" s="13" t="n"/>
      <c r="I21" s="16" t="n"/>
      <c r="J21" s="14" t="n"/>
      <c r="K21" s="15" t="n"/>
      <c r="L21" s="12">
        <f>IF(B21="","",IF(J21="Concluída","Concluída",IF(J21="Cancelada","Cancelada",IF(G21="","Sem prazo",IF(G21&lt;TODAY(),"Atrasada",IF(G21-TODAY()&lt;=7,"Vence em 7 dias","No prazo"))))))</f>
        <v/>
      </c>
      <c r="M21" s="17">
        <f>IF(OR(B21="",G21="",J21="Concluída",J21="Cancelada"),"",G21-TODAY())</f>
        <v/>
      </c>
    </row>
    <row r="22">
      <c r="A22" s="12" t="n">
        <v>18</v>
      </c>
      <c r="B22" s="13" t="n"/>
      <c r="C22" s="13" t="n"/>
      <c r="D22" s="14" t="n"/>
      <c r="E22" s="14" t="n"/>
      <c r="F22" s="15" t="n"/>
      <c r="G22" s="15" t="n"/>
      <c r="H22" s="13" t="n"/>
      <c r="I22" s="16" t="n"/>
      <c r="J22" s="14" t="n"/>
      <c r="K22" s="15" t="n"/>
      <c r="L22" s="12">
        <f>IF(B22="","",IF(J22="Concluída","Concluída",IF(J22="Cancelada","Cancelada",IF(G22="","Sem prazo",IF(G22&lt;TODAY(),"Atrasada",IF(G22-TODAY()&lt;=7,"Vence em 7 dias","No prazo"))))))</f>
        <v/>
      </c>
      <c r="M22" s="17">
        <f>IF(OR(B22="",G22="",J22="Concluída",J22="Cancelada"),"",G22-TODAY())</f>
        <v/>
      </c>
    </row>
    <row r="23">
      <c r="A23" s="12" t="n">
        <v>19</v>
      </c>
      <c r="B23" s="13" t="n"/>
      <c r="C23" s="13" t="n"/>
      <c r="D23" s="14" t="n"/>
      <c r="E23" s="14" t="n"/>
      <c r="F23" s="15" t="n"/>
      <c r="G23" s="15" t="n"/>
      <c r="H23" s="13" t="n"/>
      <c r="I23" s="16" t="n"/>
      <c r="J23" s="14" t="n"/>
      <c r="K23" s="15" t="n"/>
      <c r="L23" s="12">
        <f>IF(B23="","",IF(J23="Concluída","Concluída",IF(J23="Cancelada","Cancelada",IF(G23="","Sem prazo",IF(G23&lt;TODAY(),"Atrasada",IF(G23-TODAY()&lt;=7,"Vence em 7 dias","No prazo"))))))</f>
        <v/>
      </c>
      <c r="M23" s="17">
        <f>IF(OR(B23="",G23="",J23="Concluída",J23="Cancelada"),"",G23-TODAY())</f>
        <v/>
      </c>
    </row>
    <row r="24">
      <c r="A24" s="12" t="n">
        <v>20</v>
      </c>
      <c r="B24" s="13" t="n"/>
      <c r="C24" s="13" t="n"/>
      <c r="D24" s="14" t="n"/>
      <c r="E24" s="14" t="n"/>
      <c r="F24" s="15" t="n"/>
      <c r="G24" s="15" t="n"/>
      <c r="H24" s="13" t="n"/>
      <c r="I24" s="16" t="n"/>
      <c r="J24" s="14" t="n"/>
      <c r="K24" s="15" t="n"/>
      <c r="L24" s="12">
        <f>IF(B24="","",IF(J24="Concluída","Concluída",IF(J24="Cancelada","Cancelada",IF(G24="","Sem prazo",IF(G24&lt;TODAY(),"Atrasada",IF(G24-TODAY()&lt;=7,"Vence em 7 dias","No prazo"))))))</f>
        <v/>
      </c>
      <c r="M24" s="17">
        <f>IF(OR(B24="",G24="",J24="Concluída",J24="Cancelada"),"",G24-TODAY())</f>
        <v/>
      </c>
    </row>
    <row r="25">
      <c r="A25" s="12" t="n">
        <v>21</v>
      </c>
      <c r="B25" s="13" t="n"/>
      <c r="C25" s="13" t="n"/>
      <c r="D25" s="14" t="n"/>
      <c r="E25" s="14" t="n"/>
      <c r="F25" s="15" t="n"/>
      <c r="G25" s="15" t="n"/>
      <c r="H25" s="13" t="n"/>
      <c r="I25" s="16" t="n"/>
      <c r="J25" s="14" t="n"/>
      <c r="K25" s="15" t="n"/>
      <c r="L25" s="12">
        <f>IF(B25="","",IF(J25="Concluída","Concluída",IF(J25="Cancelada","Cancelada",IF(G25="","Sem prazo",IF(G25&lt;TODAY(),"Atrasada",IF(G25-TODAY()&lt;=7,"Vence em 7 dias","No prazo"))))))</f>
        <v/>
      </c>
      <c r="M25" s="17">
        <f>IF(OR(B25="",G25="",J25="Concluída",J25="Cancelada"),"",G25-TODAY())</f>
        <v/>
      </c>
    </row>
    <row r="26">
      <c r="A26" s="12" t="n">
        <v>22</v>
      </c>
      <c r="B26" s="13" t="n"/>
      <c r="C26" s="13" t="n"/>
      <c r="D26" s="14" t="n"/>
      <c r="E26" s="14" t="n"/>
      <c r="F26" s="15" t="n"/>
      <c r="G26" s="15" t="n"/>
      <c r="H26" s="13" t="n"/>
      <c r="I26" s="16" t="n"/>
      <c r="J26" s="14" t="n"/>
      <c r="K26" s="15" t="n"/>
      <c r="L26" s="12">
        <f>IF(B26="","",IF(J26="Concluída","Concluída",IF(J26="Cancelada","Cancelada",IF(G26="","Sem prazo",IF(G26&lt;TODAY(),"Atrasada",IF(G26-TODAY()&lt;=7,"Vence em 7 dias","No prazo"))))))</f>
        <v/>
      </c>
      <c r="M26" s="17">
        <f>IF(OR(B26="",G26="",J26="Concluída",J26="Cancelada"),"",G26-TODAY())</f>
        <v/>
      </c>
    </row>
    <row r="27">
      <c r="A27" s="12" t="n">
        <v>23</v>
      </c>
      <c r="B27" s="13" t="n"/>
      <c r="C27" s="13" t="n"/>
      <c r="D27" s="14" t="n"/>
      <c r="E27" s="14" t="n"/>
      <c r="F27" s="15" t="n"/>
      <c r="G27" s="15" t="n"/>
      <c r="H27" s="13" t="n"/>
      <c r="I27" s="16" t="n"/>
      <c r="J27" s="14" t="n"/>
      <c r="K27" s="15" t="n"/>
      <c r="L27" s="12">
        <f>IF(B27="","",IF(J27="Concluída","Concluída",IF(J27="Cancelada","Cancelada",IF(G27="","Sem prazo",IF(G27&lt;TODAY(),"Atrasada",IF(G27-TODAY()&lt;=7,"Vence em 7 dias","No prazo"))))))</f>
        <v/>
      </c>
      <c r="M27" s="17">
        <f>IF(OR(B27="",G27="",J27="Concluída",J27="Cancelada"),"",G27-TODAY())</f>
        <v/>
      </c>
    </row>
    <row r="28">
      <c r="A28" s="12" t="n">
        <v>24</v>
      </c>
      <c r="B28" s="13" t="n"/>
      <c r="C28" s="13" t="n"/>
      <c r="D28" s="14" t="n"/>
      <c r="E28" s="14" t="n"/>
      <c r="F28" s="15" t="n"/>
      <c r="G28" s="15" t="n"/>
      <c r="H28" s="13" t="n"/>
      <c r="I28" s="16" t="n"/>
      <c r="J28" s="14" t="n"/>
      <c r="K28" s="15" t="n"/>
      <c r="L28" s="12">
        <f>IF(B28="","",IF(J28="Concluída","Concluída",IF(J28="Cancelada","Cancelada",IF(G28="","Sem prazo",IF(G28&lt;TODAY(),"Atrasada",IF(G28-TODAY()&lt;=7,"Vence em 7 dias","No prazo"))))))</f>
        <v/>
      </c>
      <c r="M28" s="17">
        <f>IF(OR(B28="",G28="",J28="Concluída",J28="Cancelada"),"",G28-TODAY())</f>
        <v/>
      </c>
    </row>
    <row r="29">
      <c r="A29" s="12" t="n">
        <v>25</v>
      </c>
      <c r="B29" s="13" t="n"/>
      <c r="C29" s="13" t="n"/>
      <c r="D29" s="14" t="n"/>
      <c r="E29" s="14" t="n"/>
      <c r="F29" s="15" t="n"/>
      <c r="G29" s="15" t="n"/>
      <c r="H29" s="13" t="n"/>
      <c r="I29" s="16" t="n"/>
      <c r="J29" s="14" t="n"/>
      <c r="K29" s="15" t="n"/>
      <c r="L29" s="12">
        <f>IF(B29="","",IF(J29="Concluída","Concluída",IF(J29="Cancelada","Cancelada",IF(G29="","Sem prazo",IF(G29&lt;TODAY(),"Atrasada",IF(G29-TODAY()&lt;=7,"Vence em 7 dias","No prazo"))))))</f>
        <v/>
      </c>
      <c r="M29" s="17">
        <f>IF(OR(B29="",G29="",J29="Concluída",J29="Cancelada"),"",G29-TODAY())</f>
        <v/>
      </c>
    </row>
    <row r="30">
      <c r="A30" s="12" t="n">
        <v>26</v>
      </c>
      <c r="B30" s="13" t="n"/>
      <c r="C30" s="13" t="n"/>
      <c r="D30" s="14" t="n"/>
      <c r="E30" s="14" t="n"/>
      <c r="F30" s="15" t="n"/>
      <c r="G30" s="15" t="n"/>
      <c r="H30" s="13" t="n"/>
      <c r="I30" s="16" t="n"/>
      <c r="J30" s="14" t="n"/>
      <c r="K30" s="15" t="n"/>
      <c r="L30" s="12">
        <f>IF(B30="","",IF(J30="Concluída","Concluída",IF(J30="Cancelada","Cancelada",IF(G30="","Sem prazo",IF(G30&lt;TODAY(),"Atrasada",IF(G30-TODAY()&lt;=7,"Vence em 7 dias","No prazo"))))))</f>
        <v/>
      </c>
      <c r="M30" s="17">
        <f>IF(OR(B30="",G30="",J30="Concluída",J30="Cancelada"),"",G30-TODAY())</f>
        <v/>
      </c>
    </row>
    <row r="31">
      <c r="A31" s="12" t="n">
        <v>27</v>
      </c>
      <c r="B31" s="13" t="n"/>
      <c r="C31" s="13" t="n"/>
      <c r="D31" s="14" t="n"/>
      <c r="E31" s="14" t="n"/>
      <c r="F31" s="15" t="n"/>
      <c r="G31" s="15" t="n"/>
      <c r="H31" s="13" t="n"/>
      <c r="I31" s="16" t="n"/>
      <c r="J31" s="14" t="n"/>
      <c r="K31" s="15" t="n"/>
      <c r="L31" s="12">
        <f>IF(B31="","",IF(J31="Concluída","Concluída",IF(J31="Cancelada","Cancelada",IF(G31="","Sem prazo",IF(G31&lt;TODAY(),"Atrasada",IF(G31-TODAY()&lt;=7,"Vence em 7 dias","No prazo"))))))</f>
        <v/>
      </c>
      <c r="M31" s="17">
        <f>IF(OR(B31="",G31="",J31="Concluída",J31="Cancelada"),"",G31-TODAY())</f>
        <v/>
      </c>
    </row>
    <row r="32">
      <c r="A32" s="12" t="n">
        <v>28</v>
      </c>
      <c r="B32" s="13" t="n"/>
      <c r="C32" s="13" t="n"/>
      <c r="D32" s="14" t="n"/>
      <c r="E32" s="14" t="n"/>
      <c r="F32" s="15" t="n"/>
      <c r="G32" s="15" t="n"/>
      <c r="H32" s="13" t="n"/>
      <c r="I32" s="16" t="n"/>
      <c r="J32" s="14" t="n"/>
      <c r="K32" s="15" t="n"/>
      <c r="L32" s="12">
        <f>IF(B32="","",IF(J32="Concluída","Concluída",IF(J32="Cancelada","Cancelada",IF(G32="","Sem prazo",IF(G32&lt;TODAY(),"Atrasada",IF(G32-TODAY()&lt;=7,"Vence em 7 dias","No prazo"))))))</f>
        <v/>
      </c>
      <c r="M32" s="17">
        <f>IF(OR(B32="",G32="",J32="Concluída",J32="Cancelada"),"",G32-TODAY())</f>
        <v/>
      </c>
    </row>
    <row r="33">
      <c r="A33" s="12" t="n">
        <v>29</v>
      </c>
      <c r="B33" s="13" t="n"/>
      <c r="C33" s="13" t="n"/>
      <c r="D33" s="14" t="n"/>
      <c r="E33" s="14" t="n"/>
      <c r="F33" s="15" t="n"/>
      <c r="G33" s="15" t="n"/>
      <c r="H33" s="13" t="n"/>
      <c r="I33" s="16" t="n"/>
      <c r="J33" s="14" t="n"/>
      <c r="K33" s="15" t="n"/>
      <c r="L33" s="12">
        <f>IF(B33="","",IF(J33="Concluída","Concluída",IF(J33="Cancelada","Cancelada",IF(G33="","Sem prazo",IF(G33&lt;TODAY(),"Atrasada",IF(G33-TODAY()&lt;=7,"Vence em 7 dias","No prazo"))))))</f>
        <v/>
      </c>
      <c r="M33" s="17">
        <f>IF(OR(B33="",G33="",J33="Concluída",J33="Cancelada"),"",G33-TODAY())</f>
        <v/>
      </c>
    </row>
    <row r="34">
      <c r="A34" s="12" t="n">
        <v>30</v>
      </c>
      <c r="B34" s="13" t="n"/>
      <c r="C34" s="13" t="n"/>
      <c r="D34" s="14" t="n"/>
      <c r="E34" s="14" t="n"/>
      <c r="F34" s="15" t="n"/>
      <c r="G34" s="15" t="n"/>
      <c r="H34" s="13" t="n"/>
      <c r="I34" s="16" t="n"/>
      <c r="J34" s="14" t="n"/>
      <c r="K34" s="15" t="n"/>
      <c r="L34" s="12">
        <f>IF(B34="","",IF(J34="Concluída","Concluída",IF(J34="Cancelada","Cancelada",IF(G34="","Sem prazo",IF(G34&lt;TODAY(),"Atrasada",IF(G34-TODAY()&lt;=7,"Vence em 7 dias","No prazo"))))))</f>
        <v/>
      </c>
      <c r="M34" s="17">
        <f>IF(OR(B34="",G34="",J34="Concluída",J34="Cancelada"),"",G34-TODAY())</f>
        <v/>
      </c>
    </row>
    <row r="35">
      <c r="A35" s="12" t="n">
        <v>31</v>
      </c>
      <c r="B35" s="13" t="n"/>
      <c r="C35" s="13" t="n"/>
      <c r="D35" s="14" t="n"/>
      <c r="E35" s="14" t="n"/>
      <c r="F35" s="15" t="n"/>
      <c r="G35" s="15" t="n"/>
      <c r="H35" s="13" t="n"/>
      <c r="I35" s="16" t="n"/>
      <c r="J35" s="14" t="n"/>
      <c r="K35" s="15" t="n"/>
      <c r="L35" s="12">
        <f>IF(B35="","",IF(J35="Concluída","Concluída",IF(J35="Cancelada","Cancelada",IF(G35="","Sem prazo",IF(G35&lt;TODAY(),"Atrasada",IF(G35-TODAY()&lt;=7,"Vence em 7 dias","No prazo"))))))</f>
        <v/>
      </c>
      <c r="M35" s="17">
        <f>IF(OR(B35="",G35="",J35="Concluída",J35="Cancelada"),"",G35-TODAY())</f>
        <v/>
      </c>
    </row>
    <row r="36">
      <c r="A36" s="12" t="n">
        <v>32</v>
      </c>
      <c r="B36" s="13" t="n"/>
      <c r="C36" s="13" t="n"/>
      <c r="D36" s="14" t="n"/>
      <c r="E36" s="14" t="n"/>
      <c r="F36" s="15" t="n"/>
      <c r="G36" s="15" t="n"/>
      <c r="H36" s="13" t="n"/>
      <c r="I36" s="16" t="n"/>
      <c r="J36" s="14" t="n"/>
      <c r="K36" s="15" t="n"/>
      <c r="L36" s="12">
        <f>IF(B36="","",IF(J36="Concluída","Concluída",IF(J36="Cancelada","Cancelada",IF(G36="","Sem prazo",IF(G36&lt;TODAY(),"Atrasada",IF(G36-TODAY()&lt;=7,"Vence em 7 dias","No prazo"))))))</f>
        <v/>
      </c>
      <c r="M36" s="17">
        <f>IF(OR(B36="",G36="",J36="Concluída",J36="Cancelada"),"",G36-TODAY())</f>
        <v/>
      </c>
    </row>
    <row r="37">
      <c r="A37" s="12" t="n">
        <v>33</v>
      </c>
      <c r="B37" s="13" t="n"/>
      <c r="C37" s="13" t="n"/>
      <c r="D37" s="14" t="n"/>
      <c r="E37" s="14" t="n"/>
      <c r="F37" s="15" t="n"/>
      <c r="G37" s="15" t="n"/>
      <c r="H37" s="13" t="n"/>
      <c r="I37" s="16" t="n"/>
      <c r="J37" s="14" t="n"/>
      <c r="K37" s="15" t="n"/>
      <c r="L37" s="12">
        <f>IF(B37="","",IF(J37="Concluída","Concluída",IF(J37="Cancelada","Cancelada",IF(G37="","Sem prazo",IF(G37&lt;TODAY(),"Atrasada",IF(G37-TODAY()&lt;=7,"Vence em 7 dias","No prazo"))))))</f>
        <v/>
      </c>
      <c r="M37" s="17">
        <f>IF(OR(B37="",G37="",J37="Concluída",J37="Cancelada"),"",G37-TODAY())</f>
        <v/>
      </c>
    </row>
    <row r="38">
      <c r="A38" s="12" t="n">
        <v>34</v>
      </c>
      <c r="B38" s="13" t="n"/>
      <c r="C38" s="13" t="n"/>
      <c r="D38" s="14" t="n"/>
      <c r="E38" s="14" t="n"/>
      <c r="F38" s="15" t="n"/>
      <c r="G38" s="15" t="n"/>
      <c r="H38" s="13" t="n"/>
      <c r="I38" s="16" t="n"/>
      <c r="J38" s="14" t="n"/>
      <c r="K38" s="15" t="n"/>
      <c r="L38" s="12">
        <f>IF(B38="","",IF(J38="Concluída","Concluída",IF(J38="Cancelada","Cancelada",IF(G38="","Sem prazo",IF(G38&lt;TODAY(),"Atrasada",IF(G38-TODAY()&lt;=7,"Vence em 7 dias","No prazo"))))))</f>
        <v/>
      </c>
      <c r="M38" s="17">
        <f>IF(OR(B38="",G38="",J38="Concluída",J38="Cancelada"),"",G38-TODAY())</f>
        <v/>
      </c>
    </row>
    <row r="39">
      <c r="A39" s="12" t="n">
        <v>35</v>
      </c>
      <c r="B39" s="13" t="n"/>
      <c r="C39" s="13" t="n"/>
      <c r="D39" s="14" t="n"/>
      <c r="E39" s="14" t="n"/>
      <c r="F39" s="15" t="n"/>
      <c r="G39" s="15" t="n"/>
      <c r="H39" s="13" t="n"/>
      <c r="I39" s="16" t="n"/>
      <c r="J39" s="14" t="n"/>
      <c r="K39" s="15" t="n"/>
      <c r="L39" s="12">
        <f>IF(B39="","",IF(J39="Concluída","Concluída",IF(J39="Cancelada","Cancelada",IF(G39="","Sem prazo",IF(G39&lt;TODAY(),"Atrasada",IF(G39-TODAY()&lt;=7,"Vence em 7 dias","No prazo"))))))</f>
        <v/>
      </c>
      <c r="M39" s="17">
        <f>IF(OR(B39="",G39="",J39="Concluída",J39="Cancelada"),"",G39-TODAY())</f>
        <v/>
      </c>
    </row>
    <row r="40">
      <c r="A40" s="12" t="n">
        <v>36</v>
      </c>
      <c r="B40" s="13" t="n"/>
      <c r="C40" s="13" t="n"/>
      <c r="D40" s="14" t="n"/>
      <c r="E40" s="14" t="n"/>
      <c r="F40" s="15" t="n"/>
      <c r="G40" s="15" t="n"/>
      <c r="H40" s="13" t="n"/>
      <c r="I40" s="16" t="n"/>
      <c r="J40" s="14" t="n"/>
      <c r="K40" s="15" t="n"/>
      <c r="L40" s="12">
        <f>IF(B40="","",IF(J40="Concluída","Concluída",IF(J40="Cancelada","Cancelada",IF(G40="","Sem prazo",IF(G40&lt;TODAY(),"Atrasada",IF(G40-TODAY()&lt;=7,"Vence em 7 dias","No prazo"))))))</f>
        <v/>
      </c>
      <c r="M40" s="17">
        <f>IF(OR(B40="",G40="",J40="Concluída",J40="Cancelada"),"",G40-TODAY())</f>
        <v/>
      </c>
    </row>
    <row r="41">
      <c r="A41" s="12" t="n">
        <v>37</v>
      </c>
      <c r="B41" s="13" t="n"/>
      <c r="C41" s="13" t="n"/>
      <c r="D41" s="14" t="n"/>
      <c r="E41" s="14" t="n"/>
      <c r="F41" s="15" t="n"/>
      <c r="G41" s="15" t="n"/>
      <c r="H41" s="13" t="n"/>
      <c r="I41" s="16" t="n"/>
      <c r="J41" s="14" t="n"/>
      <c r="K41" s="15" t="n"/>
      <c r="L41" s="12">
        <f>IF(B41="","",IF(J41="Concluída","Concluída",IF(J41="Cancelada","Cancelada",IF(G41="","Sem prazo",IF(G41&lt;TODAY(),"Atrasada",IF(G41-TODAY()&lt;=7,"Vence em 7 dias","No prazo"))))))</f>
        <v/>
      </c>
      <c r="M41" s="17">
        <f>IF(OR(B41="",G41="",J41="Concluída",J41="Cancelada"),"",G41-TODAY())</f>
        <v/>
      </c>
    </row>
    <row r="42">
      <c r="A42" s="12" t="n">
        <v>38</v>
      </c>
      <c r="B42" s="13" t="n"/>
      <c r="C42" s="13" t="n"/>
      <c r="D42" s="14" t="n"/>
      <c r="E42" s="14" t="n"/>
      <c r="F42" s="15" t="n"/>
      <c r="G42" s="15" t="n"/>
      <c r="H42" s="13" t="n"/>
      <c r="I42" s="16" t="n"/>
      <c r="J42" s="14" t="n"/>
      <c r="K42" s="15" t="n"/>
      <c r="L42" s="12">
        <f>IF(B42="","",IF(J42="Concluída","Concluída",IF(J42="Cancelada","Cancelada",IF(G42="","Sem prazo",IF(G42&lt;TODAY(),"Atrasada",IF(G42-TODAY()&lt;=7,"Vence em 7 dias","No prazo"))))))</f>
        <v/>
      </c>
      <c r="M42" s="17">
        <f>IF(OR(B42="",G42="",J42="Concluída",J42="Cancelada"),"",G42-TODAY())</f>
        <v/>
      </c>
    </row>
    <row r="43">
      <c r="A43" s="12" t="n">
        <v>39</v>
      </c>
      <c r="B43" s="13" t="n"/>
      <c r="C43" s="13" t="n"/>
      <c r="D43" s="14" t="n"/>
      <c r="E43" s="14" t="n"/>
      <c r="F43" s="15" t="n"/>
      <c r="G43" s="15" t="n"/>
      <c r="H43" s="13" t="n"/>
      <c r="I43" s="16" t="n"/>
      <c r="J43" s="14" t="n"/>
      <c r="K43" s="15" t="n"/>
      <c r="L43" s="12">
        <f>IF(B43="","",IF(J43="Concluída","Concluída",IF(J43="Cancelada","Cancelada",IF(G43="","Sem prazo",IF(G43&lt;TODAY(),"Atrasada",IF(G43-TODAY()&lt;=7,"Vence em 7 dias","No prazo"))))))</f>
        <v/>
      </c>
      <c r="M43" s="17">
        <f>IF(OR(B43="",G43="",J43="Concluída",J43="Cancelada"),"",G43-TODAY())</f>
        <v/>
      </c>
    </row>
    <row r="44">
      <c r="A44" s="12" t="n">
        <v>40</v>
      </c>
      <c r="B44" s="13" t="n"/>
      <c r="C44" s="13" t="n"/>
      <c r="D44" s="14" t="n"/>
      <c r="E44" s="14" t="n"/>
      <c r="F44" s="15" t="n"/>
      <c r="G44" s="15" t="n"/>
      <c r="H44" s="13" t="n"/>
      <c r="I44" s="16" t="n"/>
      <c r="J44" s="14" t="n"/>
      <c r="K44" s="15" t="n"/>
      <c r="L44" s="12">
        <f>IF(B44="","",IF(J44="Concluída","Concluída",IF(J44="Cancelada","Cancelada",IF(G44="","Sem prazo",IF(G44&lt;TODAY(),"Atrasada",IF(G44-TODAY()&lt;=7,"Vence em 7 dias","No prazo"))))))</f>
        <v/>
      </c>
      <c r="M44" s="17">
        <f>IF(OR(B44="",G44="",J44="Concluída",J44="Cancelada"),"",G44-TODAY())</f>
        <v/>
      </c>
    </row>
  </sheetData>
  <mergeCells count="2">
    <mergeCell ref="A2:M2"/>
    <mergeCell ref="A1:M1"/>
  </mergeCells>
  <conditionalFormatting sqref="L5:L44">
    <cfRule type="cellIs" priority="1" operator="equal" dxfId="0">
      <formula>"Concluída"</formula>
    </cfRule>
    <cfRule type="cellIs" priority="2" operator="equal" dxfId="1">
      <formula>"Vence em 7 dias"</formula>
    </cfRule>
    <cfRule type="cellIs" priority="3" operator="equal" dxfId="2">
      <formula>"Atrasada"</formula>
    </cfRule>
  </conditionalFormatting>
  <dataValidations count="1">
    <dataValidation sqref="J5:J44" showDropDown="0" showInputMessage="0" showErrorMessage="0" allowBlank="1" errorTitle="Valor fora da lista" error="Escolha um status da lista." type="list">
      <formula1>"Não iniciada,Em andamento,Concluída,Cancelada"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Plano de ação 5W2H  —  resumo do andamento</t>
        </is>
      </c>
      <c r="B2" s="4" t="n"/>
      <c r="C2" s="4" t="n"/>
    </row>
    <row r="5">
      <c r="A5" s="18" t="inlineStr">
        <is>
          <t>Ações cadastradas</t>
        </is>
      </c>
      <c r="B5" s="19">
        <f>COUNTA('Plano de ação'!B5:B44)</f>
        <v/>
      </c>
    </row>
    <row r="6">
      <c r="A6" s="18" t="inlineStr">
        <is>
          <t>Concluídas</t>
        </is>
      </c>
      <c r="B6" s="19">
        <f>COUNTIF('Plano de ação'!L5:L44,"Concluída")</f>
        <v/>
      </c>
    </row>
    <row r="7">
      <c r="A7" s="18" t="inlineStr">
        <is>
          <t>Atrasadas</t>
        </is>
      </c>
      <c r="B7" s="19">
        <f>COUNTIF('Plano de ação'!L5:L44,"Atrasada")</f>
        <v/>
      </c>
    </row>
    <row r="8">
      <c r="A8" s="18" t="inlineStr">
        <is>
          <t>Vencem em 7 dias</t>
        </is>
      </c>
      <c r="B8" s="19">
        <f>COUNTIF('Plano de ação'!L5:L44,"Vence em 7 dias")</f>
        <v/>
      </c>
    </row>
    <row r="9">
      <c r="A9" s="18" t="inlineStr">
        <is>
          <t>Percentual concluído</t>
        </is>
      </c>
      <c r="B9" s="20">
        <f>IFERROR(B6/(B5-COUNTIF('Plano de ação'!L5:L44,"Cancelada")),0)</f>
        <v/>
      </c>
    </row>
    <row r="10">
      <c r="A10" s="18" t="inlineStr">
        <is>
          <t>Custo total previsto</t>
        </is>
      </c>
      <c r="B10" s="21">
        <f>SUM('Plano de ação'!I5:I44)</f>
        <v/>
      </c>
    </row>
    <row r="11">
      <c r="A11" s="18" t="inlineStr">
        <is>
          <t>Custo das ações concluídas</t>
        </is>
      </c>
      <c r="B11" s="21">
        <f>SUMIF('Plano de ação'!L5:L44,"Concluída",'Plano de ação'!I5:I44)</f>
        <v/>
      </c>
    </row>
    <row r="13" ht="36" customHeight="1">
      <c r="A13" s="11" t="inlineStr">
        <is>
          <t>Responsável</t>
        </is>
      </c>
      <c r="B13" s="11" t="inlineStr">
        <is>
          <t>Ações</t>
        </is>
      </c>
      <c r="C13" s="11" t="inlineStr">
        <is>
          <t>Atrasadas</t>
        </is>
      </c>
    </row>
    <row r="14">
      <c r="A14" s="14" t="inlineStr">
        <is>
          <t>Ana (estoque)</t>
        </is>
      </c>
      <c r="B14" s="12">
        <f>IF(A14="","",COUNTIF('Plano de ação'!E5:E44,A14))</f>
        <v/>
      </c>
      <c r="C14" s="12">
        <f>IF(A14="","",COUNTIFS('Plano de ação'!E5:E44,A14,'Plano de ação'!L5:L44,"Atrasada"))</f>
        <v/>
      </c>
    </row>
    <row r="15">
      <c r="A15" s="14" t="inlineStr">
        <is>
          <t>Bruno (compras)</t>
        </is>
      </c>
      <c r="B15" s="12">
        <f>IF(A15="","",COUNTIF('Plano de ação'!E5:E44,A15))</f>
        <v/>
      </c>
      <c r="C15" s="12">
        <f>IF(A15="","",COUNTIFS('Plano de ação'!E5:E44,A15,'Plano de ação'!L5:L44,"Atrasada"))</f>
        <v/>
      </c>
    </row>
    <row r="16">
      <c r="A16" s="14" t="inlineStr">
        <is>
          <t>Carla (gerente)</t>
        </is>
      </c>
      <c r="B16" s="12">
        <f>IF(A16="","",COUNTIF('Plano de ação'!E5:E44,A16))</f>
        <v/>
      </c>
      <c r="C16" s="12">
        <f>IF(A16="","",COUNTIFS('Plano de ação'!E5:E44,A16,'Plano de ação'!L5:L44,"Atrasada"))</f>
        <v/>
      </c>
    </row>
    <row r="17">
      <c r="A17" s="14" t="n"/>
      <c r="B17" s="12">
        <f>IF(A17="","",COUNTIF('Plano de ação'!E5:E44,A17))</f>
        <v/>
      </c>
      <c r="C17" s="12">
        <f>IF(A17="","",COUNTIFS('Plano de ação'!E5:E44,A17,'Plano de ação'!L5:L44,"Atrasada"))</f>
        <v/>
      </c>
    </row>
    <row r="18">
      <c r="A18" s="14" t="n"/>
      <c r="B18" s="12">
        <f>IF(A18="","",COUNTIF('Plano de ação'!E5:E44,A18))</f>
        <v/>
      </c>
      <c r="C18" s="12">
        <f>IF(A18="","",COUNTIFS('Plano de ação'!E5:E44,A18,'Plano de ação'!L5:L44,"Atrasada"))</f>
        <v/>
      </c>
    </row>
    <row r="19">
      <c r="A19" s="14" t="n"/>
      <c r="B19" s="12">
        <f>IF(A19="","",COUNTIF('Plano de ação'!E5:E44,A19))</f>
        <v/>
      </c>
      <c r="C19" s="12">
        <f>IF(A19="","",COUNTIFS('Plano de ação'!E5:E44,A19,'Plano de ação'!L5:L44,"Atrasada"))</f>
        <v/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Jonatas Magalhães</dc:creator>
  <dcterms:created xmlns:dcterms="http://purl.org/dc/terms/" xmlns:xsi="http://www.w3.org/2001/XMLSchema-instance" xsi:type="dcterms:W3CDTF">2026-10-27T21:37:23Z</dcterms:created>
  <dcterms:modified xmlns:dcterms="http://purl.org/dc/terms/" xmlns:xsi="http://www.w3.org/2001/XMLSchema-instance" xsi:type="dcterms:W3CDTF">2026-10-27T21:37:23Z</dcterms:modified>
</cp:coreProperties>
</file>