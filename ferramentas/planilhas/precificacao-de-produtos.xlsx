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cific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0.0%"/>
    <numFmt numFmtId="166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2238"/>
      <sz val="14"/>
    </font>
    <font>
      <name val="Arial"/>
      <b val="1"/>
      <color rgb="00FFFFFF"/>
    </font>
    <font>
      <name val="Arial"/>
      <sz val="10"/>
    </font>
    <font>
      <name val="Arial"/>
      <color rgb="0056687A"/>
      <sz val="9"/>
    </font>
    <font>
      <name val="Arial"/>
      <b val="1"/>
      <sz val="10"/>
    </font>
    <font>
      <name val="Arial"/>
      <b val="1"/>
      <color rgb="000C2238"/>
      <sz val="11"/>
    </font>
    <font>
      <name val="Arial"/>
      <b val="1"/>
      <color rgb="000C2238"/>
      <sz val="12"/>
    </font>
    <font>
      <name val="Arial"/>
      <sz val="11"/>
    </font>
    <font>
      <name val="Arial"/>
      <b val="1"/>
      <color rgb="00E8A33D"/>
      <sz val="11"/>
    </font>
    <font>
      <name val="Arial"/>
      <color rgb="0056687A"/>
      <sz val="10"/>
    </font>
  </fonts>
  <fills count="6">
    <fill>
      <patternFill/>
    </fill>
    <fill>
      <patternFill patternType="gray125"/>
    </fill>
    <fill>
      <patternFill patternType="solid">
        <fgColor rgb="000C2238"/>
      </patternFill>
    </fill>
    <fill>
      <patternFill patternType="solid">
        <fgColor rgb="00163452"/>
      </patternFill>
    </fill>
    <fill>
      <patternFill patternType="solid">
        <fgColor rgb="00FFF8E8"/>
      </patternFill>
    </fill>
    <fill>
      <patternFill patternType="solid">
        <fgColor rgb="00E9EEF3"/>
      </patternFill>
    </fill>
  </fills>
  <borders count="4">
    <border>
      <left/>
      <right/>
      <top/>
      <bottom/>
      <diagonal/>
    </border>
    <border>
      <bottom style="medium">
        <color rgb="00E8A33D"/>
      </bottom>
    </border>
    <border>
      <left/>
      <right/>
      <top/>
      <bottom style="medium">
        <color rgb="00E8A33D"/>
      </bottom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1" applyAlignment="1" pivotButton="0" quotePrefix="0" xfId="0">
      <alignment vertical="center" indent="1"/>
    </xf>
    <xf numFmtId="0" fontId="0" fillId="0" borderId="2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right" vertical="top"/>
    </xf>
    <xf numFmtId="0" fontId="0" fillId="4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4" fillId="4" borderId="3" pivotButton="0" quotePrefix="0" xfId="0"/>
    <xf numFmtId="164" fontId="6" fillId="5" borderId="3" pivotButton="0" quotePrefix="0" xfId="0"/>
    <xf numFmtId="165" fontId="6" fillId="5" borderId="3" pivotButton="0" quotePrefix="0" xfId="0"/>
    <xf numFmtId="165" fontId="4" fillId="4" borderId="3" pivotButton="0" quotePrefix="0" xfId="0"/>
    <xf numFmtId="166" fontId="6" fillId="5" borderId="3" pivotButton="0" quotePrefix="0" xfId="0"/>
    <xf numFmtId="2" fontId="6" fillId="5" borderId="3" pivotButton="0" quotePrefix="0" xfId="0"/>
    <xf numFmtId="0" fontId="1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vertical="top"/>
    </xf>
    <xf numFmtId="164" fontId="4" fillId="4" borderId="3" applyAlignment="1" pivotButton="0" quotePrefix="0" xfId="0">
      <alignment vertical="top"/>
    </xf>
    <xf numFmtId="164" fontId="4" fillId="0" borderId="3" applyAlignment="1" pivotButton="0" quotePrefix="0" xfId="0">
      <alignment vertical="top"/>
    </xf>
    <xf numFmtId="165" fontId="4" fillId="4" borderId="3" applyAlignment="1" pivotButton="0" quotePrefix="0" xfId="0">
      <alignment vertical="top"/>
    </xf>
    <xf numFmtId="166" fontId="4" fillId="0" borderId="3" applyAlignment="1" pivotButton="0" quotePrefix="0" xfId="0">
      <alignment vertical="top"/>
    </xf>
    <xf numFmtId="165" fontId="4" fillId="0" borderId="3" applyAlignment="1" pivotButton="0" quotePrefix="0" xfId="0">
      <alignment vertical="top"/>
    </xf>
    <xf numFmtId="0" fontId="4" fillId="0" borderId="3" applyAlignment="1" pivotButton="0" quotePrefix="0" xfId="0">
      <alignment vertical="top"/>
    </xf>
    <xf numFmtId="0" fontId="7" fillId="0" borderId="0" pivotButton="0" quotePrefix="0" xfId="0"/>
    <xf numFmtId="1" fontId="6" fillId="5" borderId="3" pivotButton="0" quotePrefix="0" xfId="0"/>
  </cellXfs>
  <cellStyles count="1">
    <cellStyle name="Normal" xfId="0" builtinId="0" hidden="0"/>
  </cellStyles>
  <dxfs count="3">
    <dxf>
      <fill>
        <patternFill patternType="solid">
          <fgColor rgb="00FBE5E2"/>
        </patternFill>
      </fill>
    </dxf>
    <dxf>
      <fill>
        <patternFill patternType="solid">
          <fgColor rgb="00E3F4EC"/>
        </patternFill>
      </fill>
    </dxf>
    <dxf>
      <fill>
        <patternFill patternType="solid">
          <fgColor rgb="00FB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Precificação de produtos</t>
        </is>
      </c>
      <c r="B2" s="4" t="n"/>
      <c r="C2" s="4" t="n"/>
    </row>
    <row r="4">
      <c r="B4" s="5" t="inlineStr">
        <is>
          <t>Para que serve</t>
        </is>
      </c>
    </row>
    <row r="5" ht="45" customHeight="1">
      <c r="C5" s="6" t="inlineStr">
        <is>
          <t>Calcular o preço de venda que paga o custo do produto, a parte dele nas despesas fixas, os impostos e as taxas, e ainda deixa o lucro desejado. Mostra também a margem real dos preços que você já pratica e compara com o concorrente.</t>
        </is>
      </c>
    </row>
    <row r="7">
      <c r="B7" s="5" t="inlineStr">
        <is>
          <t>Passo a passo</t>
        </is>
      </c>
    </row>
    <row r="8" ht="15" customHeight="1">
      <c r="B8" s="7" t="n">
        <v>1</v>
      </c>
      <c r="C8" s="6" t="inlineStr">
        <is>
          <t>Na aba Parâmetros, digite o faturamento médio mensal e cada custo fixo do mês.</t>
        </is>
      </c>
    </row>
    <row r="9" ht="30" customHeight="1">
      <c r="B9" s="7" t="n">
        <v>2</v>
      </c>
      <c r="C9" s="6" t="inlineStr">
        <is>
          <t>Ainda em Parâmetros, digite os percentuais de impostos, taxa de cartão, comissão e outras despesas variáveis.</t>
        </is>
      </c>
    </row>
    <row r="10" ht="15" customHeight="1">
      <c r="B10" s="7" t="n">
        <v>3</v>
      </c>
      <c r="C10" s="6" t="inlineStr">
        <is>
          <t>Defina a margem de lucro desejada. A soma dos percentuais precisa ficar abaixo de 100%.</t>
        </is>
      </c>
    </row>
    <row r="11" ht="30" customHeight="1">
      <c r="B11" s="7" t="n">
        <v>4</v>
      </c>
      <c r="C11" s="6" t="inlineStr">
        <is>
          <t>Na aba Precificação, troque os produtos de exemplo pelos seus: nome, custo de compra e frete ou outros custos por unidade.</t>
        </is>
      </c>
    </row>
    <row r="12" ht="15" customHeight="1">
      <c r="B12" s="7" t="n">
        <v>5</v>
      </c>
      <c r="C12" s="6" t="inlineStr">
        <is>
          <t>Leia o preço sugerido. Ele já cobre custo, despesas fixas, despesas variáveis e lucro.</t>
        </is>
      </c>
    </row>
    <row r="13" ht="30" customHeight="1">
      <c r="B13" s="7" t="n">
        <v>6</v>
      </c>
      <c r="C13" s="6" t="inlineStr">
        <is>
          <t>Digite o preço que você pratica hoje. A coluna Situação mostra se a margem está OK, abaixo da meta ou dando prejuízo.</t>
        </is>
      </c>
    </row>
    <row r="14" ht="15" customHeight="1">
      <c r="B14" s="7" t="n">
        <v>7</v>
      </c>
      <c r="C14" s="6" t="inlineStr">
        <is>
          <t>Se quiser, digite o preço do concorrente para ver a diferença em %.</t>
        </is>
      </c>
    </row>
    <row r="15" ht="15" customHeight="1">
      <c r="B15" s="7" t="n">
        <v>8</v>
      </c>
      <c r="C15" s="6" t="inlineStr">
        <is>
          <t>Revise os parâmetros todo mês e os custos de compra sempre que o fornecedor reajustar.</t>
        </is>
      </c>
    </row>
    <row r="17">
      <c r="B17" s="5" t="inlineStr">
        <is>
          <t>Bom saber</t>
        </is>
      </c>
    </row>
    <row r="18" ht="15" customHeight="1">
      <c r="C18" s="6" t="inlineStr">
        <is>
          <t>Markup divisor: preço = custo ÷ (1 − custos fixos % − despesas variáveis % − margem %).</t>
        </is>
      </c>
    </row>
    <row r="19" ht="30" customHeight="1">
      <c r="C19" s="6" t="inlineStr">
        <is>
          <t>Para um produto específico, você pode digitar outra margem na coluna Margem desejada (por exemplo, menor para itens de giro e maior para itens exclusivos).</t>
        </is>
      </c>
    </row>
    <row r="20" ht="30" customHeight="1">
      <c r="C20" s="6" t="inlineStr">
        <is>
          <t>Preço abaixo do sugerido não é proibido, mas precisa ser uma decisão consciente, com volume que compense.</t>
        </is>
      </c>
    </row>
    <row r="22">
      <c r="B22" s="8" t="n"/>
      <c r="C22" s="9" t="inlineStr">
        <is>
          <t>Células nesta cor: você digita. As demais são calculadas e não precisam ser alteradas.</t>
        </is>
      </c>
    </row>
    <row r="23">
      <c r="C23" s="9" t="inlineStr">
        <is>
          <t>Procedimento de implantação: POP-F01 (baixe junto no painel).  Os dados de exemplo são fictícios.</t>
        </is>
      </c>
    </row>
    <row r="25">
      <c r="C25" s="10" t="inlineStr">
        <is>
          <t>jonatasmag.github.io  |  chazaq.adm@gmail.com  |  (47) 98849-9129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Precificação de produtos  —  parâmetros da empresa</t>
        </is>
      </c>
      <c r="B2" s="4" t="n"/>
      <c r="C2" s="4" t="n"/>
    </row>
    <row r="4">
      <c r="A4" s="11" t="inlineStr">
        <is>
          <t>Faturamento</t>
        </is>
      </c>
      <c r="B4" s="12" t="n"/>
      <c r="C4" s="12" t="n"/>
    </row>
    <row r="5">
      <c r="A5" s="13" t="inlineStr">
        <is>
          <t>Faturamento médio mensal</t>
        </is>
      </c>
      <c r="B5" s="14" t="n">
        <v>180000</v>
      </c>
      <c r="C5" s="10" t="inlineStr">
        <is>
          <t>Média dos últimos 3 a 6 meses.</t>
        </is>
      </c>
    </row>
    <row r="7">
      <c r="A7" s="11" t="inlineStr">
        <is>
          <t>Custos fixos mensais</t>
        </is>
      </c>
      <c r="B7" s="12" t="n"/>
      <c r="C7" s="12" t="n"/>
    </row>
    <row r="8">
      <c r="A8" s="13" t="inlineStr">
        <is>
          <t>Aluguel e condomínio</t>
        </is>
      </c>
      <c r="B8" s="14" t="n">
        <v>4500</v>
      </c>
      <c r="C8" s="10" t="inlineStr"/>
    </row>
    <row r="9">
      <c r="A9" s="13" t="inlineStr">
        <is>
          <t>Salários e encargos</t>
        </is>
      </c>
      <c r="B9" s="14" t="n">
        <v>12000</v>
      </c>
      <c r="C9" s="10" t="inlineStr"/>
    </row>
    <row r="10">
      <c r="A10" s="13" t="inlineStr">
        <is>
          <t>Pró-labore</t>
        </is>
      </c>
      <c r="B10" s="14" t="n">
        <v>5000</v>
      </c>
      <c r="C10" s="10" t="inlineStr"/>
    </row>
    <row r="11">
      <c r="A11" s="13" t="inlineStr">
        <is>
          <t>Energia, água e internet</t>
        </is>
      </c>
      <c r="B11" s="14" t="n">
        <v>1300</v>
      </c>
      <c r="C11" s="10" t="inlineStr"/>
    </row>
    <row r="12">
      <c r="A12" s="13" t="inlineStr">
        <is>
          <t>Contador e sistemas</t>
        </is>
      </c>
      <c r="B12" s="14" t="n">
        <v>1100</v>
      </c>
      <c r="C12" s="10" t="inlineStr"/>
    </row>
    <row r="13">
      <c r="A13" s="13" t="inlineStr">
        <is>
          <t>Outros custos fixos</t>
        </is>
      </c>
      <c r="B13" s="14" t="n">
        <v>900</v>
      </c>
      <c r="C13" s="10" t="inlineStr"/>
    </row>
    <row r="14">
      <c r="A14" s="13" t="inlineStr">
        <is>
          <t>Total de custos fixos</t>
        </is>
      </c>
      <c r="B14" s="15">
        <f>SUM(B8:B13)</f>
        <v/>
      </c>
      <c r="C14" s="10" t="inlineStr">
        <is>
          <t>Soma das linhas acima.</t>
        </is>
      </c>
    </row>
    <row r="15">
      <c r="A15" s="13" t="inlineStr">
        <is>
          <t>Custos fixos em % do faturamento</t>
        </is>
      </c>
      <c r="B15" s="16">
        <f>IFERROR(B14/B5,0)</f>
        <v/>
      </c>
      <c r="C15" s="10" t="inlineStr">
        <is>
          <t>Quanto de cada venda vai para pagar a estrutura.</t>
        </is>
      </c>
    </row>
    <row r="17">
      <c r="A17" s="11" t="inlineStr">
        <is>
          <t>Despesas variáveis (em % do preço de venda)</t>
        </is>
      </c>
      <c r="B17" s="12" t="n"/>
      <c r="C17" s="12" t="n"/>
    </row>
    <row r="18">
      <c r="A18" s="13" t="inlineStr">
        <is>
          <t>Impostos sobre a venda (ex.: Simples Nacional)</t>
        </is>
      </c>
      <c r="B18" s="17" t="n">
        <v>0.06</v>
      </c>
      <c r="C18" s="10" t="inlineStr">
        <is>
          <t>Use a alíquota efetiva da sua faixa.</t>
        </is>
      </c>
    </row>
    <row r="19">
      <c r="A19" s="13" t="inlineStr">
        <is>
          <t>Taxa de cartão e meios de pagamento</t>
        </is>
      </c>
      <c r="B19" s="17" t="n">
        <v>0.025</v>
      </c>
      <c r="C19" s="10" t="inlineStr">
        <is>
          <t>Média ponderada das formas de pagamento.</t>
        </is>
      </c>
    </row>
    <row r="20">
      <c r="A20" s="13" t="inlineStr">
        <is>
          <t>Comissão de vendas</t>
        </is>
      </c>
      <c r="B20" s="17" t="n">
        <v>0</v>
      </c>
      <c r="C20" s="10" t="inlineStr">
        <is>
          <t>Deixe 0% se não houver comissão.</t>
        </is>
      </c>
    </row>
    <row r="21">
      <c r="A21" s="13" t="inlineStr">
        <is>
          <t>Embalagem, frete e outras</t>
        </is>
      </c>
      <c r="B21" s="17" t="n">
        <v>0.01</v>
      </c>
      <c r="C21" s="10" t="inlineStr"/>
    </row>
    <row r="22">
      <c r="A22" s="13" t="inlineStr">
        <is>
          <t>Total de despesas variáveis</t>
        </is>
      </c>
      <c r="B22" s="16">
        <f>SUM(B18:B21)</f>
        <v/>
      </c>
      <c r="C22" s="10" t="inlineStr"/>
    </row>
    <row r="24">
      <c r="A24" s="11" t="inlineStr">
        <is>
          <t>Lucro</t>
        </is>
      </c>
      <c r="B24" s="12" t="n"/>
      <c r="C24" s="12" t="n"/>
    </row>
    <row r="25">
      <c r="A25" s="13" t="inlineStr">
        <is>
          <t>Margem de lucro desejada</t>
        </is>
      </c>
      <c r="B25" s="17" t="n">
        <v>0.08</v>
      </c>
      <c r="C25" s="10" t="inlineStr">
        <is>
          <t>Lucro líquido que você quer em cada venda.</t>
        </is>
      </c>
    </row>
    <row r="27">
      <c r="A27" s="13" t="inlineStr">
        <is>
          <t>Soma dos percentuais</t>
        </is>
      </c>
      <c r="B27" s="16">
        <f>B15+B22+B25</f>
        <v/>
      </c>
      <c r="C27" s="10" t="inlineStr">
        <is>
          <t>Precisa ficar abaixo de 100%.</t>
        </is>
      </c>
    </row>
    <row r="28">
      <c r="A28" s="13" t="inlineStr">
        <is>
          <t>Markup divisor</t>
        </is>
      </c>
      <c r="B28" s="18">
        <f>1-B27</f>
        <v/>
      </c>
      <c r="C28" s="10" t="inlineStr">
        <is>
          <t>Preço = custo ÷ markup divisor.</t>
        </is>
      </c>
    </row>
    <row r="29">
      <c r="A29" s="13" t="inlineStr">
        <is>
          <t>Markup multiplicador</t>
        </is>
      </c>
      <c r="B29" s="19">
        <f>IFERROR(1/B28,"Revise")</f>
        <v/>
      </c>
      <c r="C29" s="10" t="inlineStr">
        <is>
          <t>Preço = custo × markup multiplicador.</t>
        </is>
      </c>
    </row>
  </sheetData>
  <mergeCells count="2">
    <mergeCell ref="A1:C1"/>
    <mergeCell ref="A2:C2"/>
  </mergeCells>
  <conditionalFormatting sqref="B27">
    <cfRule type="cellIs" priority="1" operator="greaterThanOrEqual" dxfId="0">
      <formula>1</formula>
    </cfRule>
  </conditionalFormatting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2" customWidth="1" min="5" max="5"/>
    <col width="11" customWidth="1" min="6" max="6"/>
    <col width="14" customWidth="1" min="7" max="7"/>
    <col width="14" customWidth="1" min="8" max="8"/>
    <col width="11" customWidth="1" min="9" max="9"/>
    <col width="16" customWidth="1" min="10" max="10"/>
    <col width="15" customWidth="1" min="11" max="11"/>
    <col width="14" customWidth="1" min="12" max="12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Precificação de produtos  —  preço sugerido e margem real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 ht="36" customHeight="1">
      <c r="A4" s="20" t="inlineStr">
        <is>
          <t>Produto</t>
        </is>
      </c>
      <c r="B4" s="20" t="inlineStr">
        <is>
          <t>Custo de compra (R$)</t>
        </is>
      </c>
      <c r="C4" s="20" t="inlineStr">
        <is>
          <t>Frete e outros custos por unidade (R$)</t>
        </is>
      </c>
      <c r="D4" s="20" t="inlineStr">
        <is>
          <t>Custo total unitário (R$)</t>
        </is>
      </c>
      <c r="E4" s="20" t="inlineStr">
        <is>
          <t>Margem desejada</t>
        </is>
      </c>
      <c r="F4" s="20" t="inlineStr">
        <is>
          <t>Markup divisor</t>
        </is>
      </c>
      <c r="G4" s="20" t="inlineStr">
        <is>
          <t>Preço sugerido (R$)</t>
        </is>
      </c>
      <c r="H4" s="20" t="inlineStr">
        <is>
          <t>Preço praticado (R$)</t>
        </is>
      </c>
      <c r="I4" s="20" t="inlineStr">
        <is>
          <t>Margem real</t>
        </is>
      </c>
      <c r="J4" s="20" t="inlineStr">
        <is>
          <t>Situação</t>
        </is>
      </c>
      <c r="K4" s="20" t="inlineStr">
        <is>
          <t>Preço do concorrente (R$)</t>
        </is>
      </c>
      <c r="L4" s="20" t="inlineStr">
        <is>
          <t>Diferença para o concorrente</t>
        </is>
      </c>
    </row>
    <row r="5">
      <c r="A5" s="21" t="inlineStr">
        <is>
          <t>Café torrado 500 g</t>
        </is>
      </c>
      <c r="B5" s="22" t="n">
        <v>11.9</v>
      </c>
      <c r="C5" s="22" t="n">
        <v>0.6</v>
      </c>
      <c r="D5" s="23">
        <f>B5+C5</f>
        <v/>
      </c>
      <c r="E5" s="24">
        <f>Parâmetros!$B$25</f>
        <v/>
      </c>
      <c r="F5" s="25">
        <f>1-(Parâmetros!$B$15+Parâmetros!$B$22+E5)</f>
        <v/>
      </c>
      <c r="G5" s="23">
        <f>IF(F5&lt;=0,"Revise %",ROUND(D5/F5,2))</f>
        <v/>
      </c>
      <c r="H5" s="22" t="n">
        <v>19.9</v>
      </c>
      <c r="I5" s="26">
        <f>IF(H5&gt;0,(H5*(1-Parâmetros!$B$15-Parâmetros!$B$22)-D5)/H5,"")</f>
        <v/>
      </c>
      <c r="J5" s="27">
        <f>IF(H5="","",IF(I5&lt;0,"Prejuízo",IF(I5&lt;E5,"Abaixo da meta","OK")))</f>
        <v/>
      </c>
      <c r="K5" s="22" t="n">
        <v>21.5</v>
      </c>
      <c r="L5" s="26">
        <f>IF(OR(H5="",K5=""),"",H5/K5-1)</f>
        <v/>
      </c>
    </row>
    <row r="6">
      <c r="A6" s="21" t="inlineStr">
        <is>
          <t>Açúcar cristal 5 kg</t>
        </is>
      </c>
      <c r="B6" s="22" t="n">
        <v>14.2</v>
      </c>
      <c r="C6" s="22" t="n">
        <v>0.8</v>
      </c>
      <c r="D6" s="23">
        <f>B6+C6</f>
        <v/>
      </c>
      <c r="E6" s="24">
        <f>Parâmetros!$B$25</f>
        <v/>
      </c>
      <c r="F6" s="25">
        <f>1-(Parâmetros!$B$15+Parâmetros!$B$22+E6)</f>
        <v/>
      </c>
      <c r="G6" s="23">
        <f>IF(F6&lt;=0,"Revise %",ROUND(D6/F6,2))</f>
        <v/>
      </c>
      <c r="H6" s="22" t="n">
        <v>22.9</v>
      </c>
      <c r="I6" s="26">
        <f>IF(H6&gt;0,(H6*(1-Parâmetros!$B$15-Parâmetros!$B$22)-D6)/H6,"")</f>
        <v/>
      </c>
      <c r="J6" s="27">
        <f>IF(H6="","",IF(I6&lt;0,"Prejuízo",IF(I6&lt;E6,"Abaixo da meta","OK")))</f>
        <v/>
      </c>
      <c r="K6" s="22" t="n">
        <v>21.99</v>
      </c>
      <c r="L6" s="26">
        <f>IF(OR(H6="",K6=""),"",H6/K6-1)</f>
        <v/>
      </c>
    </row>
    <row r="7">
      <c r="A7" s="21" t="inlineStr">
        <is>
          <t>Arroz tipo 1 5 kg</t>
        </is>
      </c>
      <c r="B7" s="22" t="n">
        <v>21.5</v>
      </c>
      <c r="C7" s="22" t="n">
        <v>1</v>
      </c>
      <c r="D7" s="23">
        <f>B7+C7</f>
        <v/>
      </c>
      <c r="E7" s="24">
        <f>Parâmetros!$B$25</f>
        <v/>
      </c>
      <c r="F7" s="25">
        <f>1-(Parâmetros!$B$15+Parâmetros!$B$22+E7)</f>
        <v/>
      </c>
      <c r="G7" s="23">
        <f>IF(F7&lt;=0,"Revise %",ROUND(D7/F7,2))</f>
        <v/>
      </c>
      <c r="H7" s="22" t="n">
        <v>31.9</v>
      </c>
      <c r="I7" s="26">
        <f>IF(H7&gt;0,(H7*(1-Parâmetros!$B$15-Parâmetros!$B$22)-D7)/H7,"")</f>
        <v/>
      </c>
      <c r="J7" s="27">
        <f>IF(H7="","",IF(I7&lt;0,"Prejuízo",IF(I7&lt;E7,"Abaixo da meta","OK")))</f>
        <v/>
      </c>
      <c r="K7" s="22" t="n">
        <v>29.9</v>
      </c>
      <c r="L7" s="26">
        <f>IF(OR(H7="",K7=""),"",H7/K7-1)</f>
        <v/>
      </c>
    </row>
    <row r="8">
      <c r="A8" s="21" t="inlineStr">
        <is>
          <t>Feijão carioca 1 kg</t>
        </is>
      </c>
      <c r="B8" s="22" t="n">
        <v>6.1</v>
      </c>
      <c r="C8" s="22" t="n">
        <v>0.3</v>
      </c>
      <c r="D8" s="23">
        <f>B8+C8</f>
        <v/>
      </c>
      <c r="E8" s="24">
        <f>Parâmetros!$B$25</f>
        <v/>
      </c>
      <c r="F8" s="25">
        <f>1-(Parâmetros!$B$15+Parâmetros!$B$22+E8)</f>
        <v/>
      </c>
      <c r="G8" s="23">
        <f>IF(F8&lt;=0,"Revise %",ROUND(D8/F8,2))</f>
        <v/>
      </c>
      <c r="H8" s="22" t="n">
        <v>9.49</v>
      </c>
      <c r="I8" s="26">
        <f>IF(H8&gt;0,(H8*(1-Parâmetros!$B$15-Parâmetros!$B$22)-D8)/H8,"")</f>
        <v/>
      </c>
      <c r="J8" s="27">
        <f>IF(H8="","",IF(I8&lt;0,"Prejuízo",IF(I8&lt;E8,"Abaixo da meta","OK")))</f>
        <v/>
      </c>
      <c r="K8" s="22" t="n">
        <v>8.99</v>
      </c>
      <c r="L8" s="26">
        <f>IF(OR(H8="",K8=""),"",H8/K8-1)</f>
        <v/>
      </c>
    </row>
    <row r="9">
      <c r="A9" s="21" t="inlineStr">
        <is>
          <t>Óleo de soja 900 ml</t>
        </is>
      </c>
      <c r="B9" s="22" t="n">
        <v>5.4</v>
      </c>
      <c r="C9" s="22" t="n">
        <v>0.3</v>
      </c>
      <c r="D9" s="23">
        <f>B9+C9</f>
        <v/>
      </c>
      <c r="E9" s="24">
        <f>Parâmetros!$B$25</f>
        <v/>
      </c>
      <c r="F9" s="25">
        <f>1-(Parâmetros!$B$15+Parâmetros!$B$22+E9)</f>
        <v/>
      </c>
      <c r="G9" s="23">
        <f>IF(F9&lt;=0,"Revise %",ROUND(D9/F9,2))</f>
        <v/>
      </c>
      <c r="H9" s="22" t="n">
        <v>8.49</v>
      </c>
      <c r="I9" s="26">
        <f>IF(H9&gt;0,(H9*(1-Parâmetros!$B$15-Parâmetros!$B$22)-D9)/H9,"")</f>
        <v/>
      </c>
      <c r="J9" s="27">
        <f>IF(H9="","",IF(I9&lt;0,"Prejuízo",IF(I9&lt;E9,"Abaixo da meta","OK")))</f>
        <v/>
      </c>
      <c r="K9" s="22" t="n">
        <v>7.99</v>
      </c>
      <c r="L9" s="26">
        <f>IF(OR(H9="",K9=""),"",H9/K9-1)</f>
        <v/>
      </c>
    </row>
    <row r="10">
      <c r="A10" s="21" t="inlineStr">
        <is>
          <t>Detergente 500 ml</t>
        </is>
      </c>
      <c r="B10" s="22" t="n">
        <v>1.75</v>
      </c>
      <c r="C10" s="22" t="n">
        <v>0.1</v>
      </c>
      <c r="D10" s="23">
        <f>B10+C10</f>
        <v/>
      </c>
      <c r="E10" s="24">
        <f>Parâmetros!$B$25</f>
        <v/>
      </c>
      <c r="F10" s="25">
        <f>1-(Parâmetros!$B$15+Parâmetros!$B$22+E10)</f>
        <v/>
      </c>
      <c r="G10" s="23">
        <f>IF(F10&lt;=0,"Revise %",ROUND(D10/F10,2))</f>
        <v/>
      </c>
      <c r="H10" s="22" t="n">
        <v>3.29</v>
      </c>
      <c r="I10" s="26">
        <f>IF(H10&gt;0,(H10*(1-Parâmetros!$B$15-Parâmetros!$B$22)-D10)/H10,"")</f>
        <v/>
      </c>
      <c r="J10" s="27">
        <f>IF(H10="","",IF(I10&lt;0,"Prejuízo",IF(I10&lt;E10,"Abaixo da meta","OK")))</f>
        <v/>
      </c>
      <c r="K10" s="22" t="n">
        <v>2.99</v>
      </c>
      <c r="L10" s="26">
        <f>IF(OR(H10="",K10=""),"",H10/K10-1)</f>
        <v/>
      </c>
    </row>
    <row r="11">
      <c r="A11" s="21" t="inlineStr">
        <is>
          <t>Sabão em pó 1,6 kg</t>
        </is>
      </c>
      <c r="B11" s="22" t="n">
        <v>13.8</v>
      </c>
      <c r="C11" s="22" t="n">
        <v>0.6</v>
      </c>
      <c r="D11" s="23">
        <f>B11+C11</f>
        <v/>
      </c>
      <c r="E11" s="24">
        <f>Parâmetros!$B$25</f>
        <v/>
      </c>
      <c r="F11" s="25">
        <f>1-(Parâmetros!$B$15+Parâmetros!$B$22+E11)</f>
        <v/>
      </c>
      <c r="G11" s="23">
        <f>IF(F11&lt;=0,"Revise %",ROUND(D11/F11,2))</f>
        <v/>
      </c>
      <c r="H11" s="22" t="n">
        <v>21.9</v>
      </c>
      <c r="I11" s="26">
        <f>IF(H11&gt;0,(H11*(1-Parâmetros!$B$15-Parâmetros!$B$22)-D11)/H11,"")</f>
        <v/>
      </c>
      <c r="J11" s="27">
        <f>IF(H11="","",IF(I11&lt;0,"Prejuízo",IF(I11&lt;E11,"Abaixo da meta","OK")))</f>
        <v/>
      </c>
      <c r="K11" s="22" t="n">
        <v>22.9</v>
      </c>
      <c r="L11" s="26">
        <f>IF(OR(H11="",K11=""),"",H11/K11-1)</f>
        <v/>
      </c>
    </row>
    <row r="12">
      <c r="A12" s="21" t="inlineStr">
        <is>
          <t>Papel higiênico 12 rolos</t>
        </is>
      </c>
      <c r="B12" s="22" t="n">
        <v>15.9</v>
      </c>
      <c r="C12" s="22" t="n">
        <v>0.9</v>
      </c>
      <c r="D12" s="23">
        <f>B12+C12</f>
        <v/>
      </c>
      <c r="E12" s="24">
        <f>Parâmetros!$B$25</f>
        <v/>
      </c>
      <c r="F12" s="25">
        <f>1-(Parâmetros!$B$15+Parâmetros!$B$22+E12)</f>
        <v/>
      </c>
      <c r="G12" s="23">
        <f>IF(F12&lt;=0,"Revise %",ROUND(D12/F12,2))</f>
        <v/>
      </c>
      <c r="H12" s="22" t="n">
        <v>23.9</v>
      </c>
      <c r="I12" s="26">
        <f>IF(H12&gt;0,(H12*(1-Parâmetros!$B$15-Parâmetros!$B$22)-D12)/H12,"")</f>
        <v/>
      </c>
      <c r="J12" s="27">
        <f>IF(H12="","",IF(I12&lt;0,"Prejuízo",IF(I12&lt;E12,"Abaixo da meta","OK")))</f>
        <v/>
      </c>
      <c r="K12" s="22" t="n">
        <v>24.9</v>
      </c>
      <c r="L12" s="26">
        <f>IF(OR(H12="",K12=""),"",H12/K12-1)</f>
        <v/>
      </c>
    </row>
    <row r="13">
      <c r="A13" s="21" t="inlineStr">
        <is>
          <t>Biscoito recheado 140 g</t>
        </is>
      </c>
      <c r="B13" s="22" t="n">
        <v>2.1</v>
      </c>
      <c r="C13" s="22" t="n">
        <v>0.1</v>
      </c>
      <c r="D13" s="23">
        <f>B13+C13</f>
        <v/>
      </c>
      <c r="E13" s="24">
        <f>Parâmetros!$B$25</f>
        <v/>
      </c>
      <c r="F13" s="25">
        <f>1-(Parâmetros!$B$15+Parâmetros!$B$22+E13)</f>
        <v/>
      </c>
      <c r="G13" s="23">
        <f>IF(F13&lt;=0,"Revise %",ROUND(D13/F13,2))</f>
        <v/>
      </c>
      <c r="H13" s="22" t="n">
        <v>3.79</v>
      </c>
      <c r="I13" s="26">
        <f>IF(H13&gt;0,(H13*(1-Parâmetros!$B$15-Parâmetros!$B$22)-D13)/H13,"")</f>
        <v/>
      </c>
      <c r="J13" s="27">
        <f>IF(H13="","",IF(I13&lt;0,"Prejuízo",IF(I13&lt;E13,"Abaixo da meta","OK")))</f>
        <v/>
      </c>
      <c r="K13" s="22" t="n">
        <v>3.49</v>
      </c>
      <c r="L13" s="26">
        <f>IF(OR(H13="",K13=""),"",H13/K13-1)</f>
        <v/>
      </c>
    </row>
    <row r="14">
      <c r="A14" s="21" t="inlineStr">
        <is>
          <t>Refrigerante 2 L</t>
        </is>
      </c>
      <c r="B14" s="22" t="n">
        <v>6.4</v>
      </c>
      <c r="C14" s="22" t="n">
        <v>0.4</v>
      </c>
      <c r="D14" s="23">
        <f>B14+C14</f>
        <v/>
      </c>
      <c r="E14" s="24">
        <f>Parâmetros!$B$25</f>
        <v/>
      </c>
      <c r="F14" s="25">
        <f>1-(Parâmetros!$B$15+Parâmetros!$B$22+E14)</f>
        <v/>
      </c>
      <c r="G14" s="23">
        <f>IF(F14&lt;=0,"Revise %",ROUND(D14/F14,2))</f>
        <v/>
      </c>
      <c r="H14" s="22" t="n">
        <v>7.99</v>
      </c>
      <c r="I14" s="26">
        <f>IF(H14&gt;0,(H14*(1-Parâmetros!$B$15-Parâmetros!$B$22)-D14)/H14,"")</f>
        <v/>
      </c>
      <c r="J14" s="27">
        <f>IF(H14="","",IF(I14&lt;0,"Prejuízo",IF(I14&lt;E14,"Abaixo da meta","OK")))</f>
        <v/>
      </c>
      <c r="K14" s="22" t="n">
        <v>7.49</v>
      </c>
      <c r="L14" s="26">
        <f>IF(OR(H14="",K14=""),"",H14/K14-1)</f>
        <v/>
      </c>
    </row>
    <row r="15">
      <c r="A15" s="21" t="n"/>
      <c r="B15" s="22" t="n"/>
      <c r="C15" s="22" t="n"/>
      <c r="D15" s="23">
        <f>IF(B15="","",B15+C15)</f>
        <v/>
      </c>
      <c r="E15" s="24">
        <f>IF(B15="","",Parâmetros!$B$25)</f>
        <v/>
      </c>
      <c r="F15" s="25">
        <f>IF(B15="","",1-(Parâmetros!$B$15+Parâmetros!$B$22+E15))</f>
        <v/>
      </c>
      <c r="G15" s="23">
        <f>IF(B15="","",IF(F15&lt;=0,"Revise %",ROUND(D15/F15,2)))</f>
        <v/>
      </c>
      <c r="H15" s="22" t="n"/>
      <c r="I15" s="26">
        <f>IF(OR(B15="",H15=""),"",(H15*(1-Parâmetros!$B$15-Parâmetros!$B$22)-D15)/H15)</f>
        <v/>
      </c>
      <c r="J15" s="27">
        <f>IF(OR(B15="",H15=""),"",IF(I15&lt;0,"Prejuízo",IF(I15&lt;E15,"Abaixo da meta","OK")))</f>
        <v/>
      </c>
      <c r="K15" s="22" t="n"/>
      <c r="L15" s="26">
        <f>IF(OR(H15="",K15=""),"",H15/K15-1)</f>
        <v/>
      </c>
    </row>
    <row r="16">
      <c r="A16" s="21" t="n"/>
      <c r="B16" s="22" t="n"/>
      <c r="C16" s="22" t="n"/>
      <c r="D16" s="23">
        <f>IF(B16="","",B16+C16)</f>
        <v/>
      </c>
      <c r="E16" s="24">
        <f>IF(B16="","",Parâmetros!$B$25)</f>
        <v/>
      </c>
      <c r="F16" s="25">
        <f>IF(B16="","",1-(Parâmetros!$B$15+Parâmetros!$B$22+E16))</f>
        <v/>
      </c>
      <c r="G16" s="23">
        <f>IF(B16="","",IF(F16&lt;=0,"Revise %",ROUND(D16/F16,2)))</f>
        <v/>
      </c>
      <c r="H16" s="22" t="n"/>
      <c r="I16" s="26">
        <f>IF(OR(B16="",H16=""),"",(H16*(1-Parâmetros!$B$15-Parâmetros!$B$22)-D16)/H16)</f>
        <v/>
      </c>
      <c r="J16" s="27">
        <f>IF(OR(B16="",H16=""),"",IF(I16&lt;0,"Prejuízo",IF(I16&lt;E16,"Abaixo da meta","OK")))</f>
        <v/>
      </c>
      <c r="K16" s="22" t="n"/>
      <c r="L16" s="26">
        <f>IF(OR(H16="",K16=""),"",H16/K16-1)</f>
        <v/>
      </c>
    </row>
    <row r="17">
      <c r="A17" s="21" t="n"/>
      <c r="B17" s="22" t="n"/>
      <c r="C17" s="22" t="n"/>
      <c r="D17" s="23">
        <f>IF(B17="","",B17+C17)</f>
        <v/>
      </c>
      <c r="E17" s="24">
        <f>IF(B17="","",Parâmetros!$B$25)</f>
        <v/>
      </c>
      <c r="F17" s="25">
        <f>IF(B17="","",1-(Parâmetros!$B$15+Parâmetros!$B$22+E17))</f>
        <v/>
      </c>
      <c r="G17" s="23">
        <f>IF(B17="","",IF(F17&lt;=0,"Revise %",ROUND(D17/F17,2)))</f>
        <v/>
      </c>
      <c r="H17" s="22" t="n"/>
      <c r="I17" s="26">
        <f>IF(OR(B17="",H17=""),"",(H17*(1-Parâmetros!$B$15-Parâmetros!$B$22)-D17)/H17)</f>
        <v/>
      </c>
      <c r="J17" s="27">
        <f>IF(OR(B17="",H17=""),"",IF(I17&lt;0,"Prejuízo",IF(I17&lt;E17,"Abaixo da meta","OK")))</f>
        <v/>
      </c>
      <c r="K17" s="22" t="n"/>
      <c r="L17" s="26">
        <f>IF(OR(H17="",K17=""),"",H17/K17-1)</f>
        <v/>
      </c>
    </row>
    <row r="18">
      <c r="A18" s="21" t="n"/>
      <c r="B18" s="22" t="n"/>
      <c r="C18" s="22" t="n"/>
      <c r="D18" s="23">
        <f>IF(B18="","",B18+C18)</f>
        <v/>
      </c>
      <c r="E18" s="24">
        <f>IF(B18="","",Parâmetros!$B$25)</f>
        <v/>
      </c>
      <c r="F18" s="25">
        <f>IF(B18="","",1-(Parâmetros!$B$15+Parâmetros!$B$22+E18))</f>
        <v/>
      </c>
      <c r="G18" s="23">
        <f>IF(B18="","",IF(F18&lt;=0,"Revise %",ROUND(D18/F18,2)))</f>
        <v/>
      </c>
      <c r="H18" s="22" t="n"/>
      <c r="I18" s="26">
        <f>IF(OR(B18="",H18=""),"",(H18*(1-Parâmetros!$B$15-Parâmetros!$B$22)-D18)/H18)</f>
        <v/>
      </c>
      <c r="J18" s="27">
        <f>IF(OR(B18="",H18=""),"",IF(I18&lt;0,"Prejuízo",IF(I18&lt;E18,"Abaixo da meta","OK")))</f>
        <v/>
      </c>
      <c r="K18" s="22" t="n"/>
      <c r="L18" s="26">
        <f>IF(OR(H18="",K18=""),"",H18/K18-1)</f>
        <v/>
      </c>
    </row>
    <row r="19">
      <c r="A19" s="21" t="n"/>
      <c r="B19" s="22" t="n"/>
      <c r="C19" s="22" t="n"/>
      <c r="D19" s="23">
        <f>IF(B19="","",B19+C19)</f>
        <v/>
      </c>
      <c r="E19" s="24">
        <f>IF(B19="","",Parâmetros!$B$25)</f>
        <v/>
      </c>
      <c r="F19" s="25">
        <f>IF(B19="","",1-(Parâmetros!$B$15+Parâmetros!$B$22+E19))</f>
        <v/>
      </c>
      <c r="G19" s="23">
        <f>IF(B19="","",IF(F19&lt;=0,"Revise %",ROUND(D19/F19,2)))</f>
        <v/>
      </c>
      <c r="H19" s="22" t="n"/>
      <c r="I19" s="26">
        <f>IF(OR(B19="",H19=""),"",(H19*(1-Parâmetros!$B$15-Parâmetros!$B$22)-D19)/H19)</f>
        <v/>
      </c>
      <c r="J19" s="27">
        <f>IF(OR(B19="",H19=""),"",IF(I19&lt;0,"Prejuízo",IF(I19&lt;E19,"Abaixo da meta","OK")))</f>
        <v/>
      </c>
      <c r="K19" s="22" t="n"/>
      <c r="L19" s="26">
        <f>IF(OR(H19="",K19=""),"",H19/K19-1)</f>
        <v/>
      </c>
    </row>
    <row r="20">
      <c r="A20" s="21" t="n"/>
      <c r="B20" s="22" t="n"/>
      <c r="C20" s="22" t="n"/>
      <c r="D20" s="23">
        <f>IF(B20="","",B20+C20)</f>
        <v/>
      </c>
      <c r="E20" s="24">
        <f>IF(B20="","",Parâmetros!$B$25)</f>
        <v/>
      </c>
      <c r="F20" s="25">
        <f>IF(B20="","",1-(Parâmetros!$B$15+Parâmetros!$B$22+E20))</f>
        <v/>
      </c>
      <c r="G20" s="23">
        <f>IF(B20="","",IF(F20&lt;=0,"Revise %",ROUND(D20/F20,2)))</f>
        <v/>
      </c>
      <c r="H20" s="22" t="n"/>
      <c r="I20" s="26">
        <f>IF(OR(B20="",H20=""),"",(H20*(1-Parâmetros!$B$15-Parâmetros!$B$22)-D20)/H20)</f>
        <v/>
      </c>
      <c r="J20" s="27">
        <f>IF(OR(B20="",H20=""),"",IF(I20&lt;0,"Prejuízo",IF(I20&lt;E20,"Abaixo da meta","OK")))</f>
        <v/>
      </c>
      <c r="K20" s="22" t="n"/>
      <c r="L20" s="26">
        <f>IF(OR(H20="",K20=""),"",H20/K20-1)</f>
        <v/>
      </c>
    </row>
    <row r="21">
      <c r="A21" s="21" t="n"/>
      <c r="B21" s="22" t="n"/>
      <c r="C21" s="22" t="n"/>
      <c r="D21" s="23">
        <f>IF(B21="","",B21+C21)</f>
        <v/>
      </c>
      <c r="E21" s="24">
        <f>IF(B21="","",Parâmetros!$B$25)</f>
        <v/>
      </c>
      <c r="F21" s="25">
        <f>IF(B21="","",1-(Parâmetros!$B$15+Parâmetros!$B$22+E21))</f>
        <v/>
      </c>
      <c r="G21" s="23">
        <f>IF(B21="","",IF(F21&lt;=0,"Revise %",ROUND(D21/F21,2)))</f>
        <v/>
      </c>
      <c r="H21" s="22" t="n"/>
      <c r="I21" s="26">
        <f>IF(OR(B21="",H21=""),"",(H21*(1-Parâmetros!$B$15-Parâmetros!$B$22)-D21)/H21)</f>
        <v/>
      </c>
      <c r="J21" s="27">
        <f>IF(OR(B21="",H21=""),"",IF(I21&lt;0,"Prejuízo",IF(I21&lt;E21,"Abaixo da meta","OK")))</f>
        <v/>
      </c>
      <c r="K21" s="22" t="n"/>
      <c r="L21" s="26">
        <f>IF(OR(H21="",K21=""),"",H21/K21-1)</f>
        <v/>
      </c>
    </row>
    <row r="22">
      <c r="A22" s="21" t="n"/>
      <c r="B22" s="22" t="n"/>
      <c r="C22" s="22" t="n"/>
      <c r="D22" s="23">
        <f>IF(B22="","",B22+C22)</f>
        <v/>
      </c>
      <c r="E22" s="24">
        <f>IF(B22="","",Parâmetros!$B$25)</f>
        <v/>
      </c>
      <c r="F22" s="25">
        <f>IF(B22="","",1-(Parâmetros!$B$15+Parâmetros!$B$22+E22))</f>
        <v/>
      </c>
      <c r="G22" s="23">
        <f>IF(B22="","",IF(F22&lt;=0,"Revise %",ROUND(D22/F22,2)))</f>
        <v/>
      </c>
      <c r="H22" s="22" t="n"/>
      <c r="I22" s="26">
        <f>IF(OR(B22="",H22=""),"",(H22*(1-Parâmetros!$B$15-Parâmetros!$B$22)-D22)/H22)</f>
        <v/>
      </c>
      <c r="J22" s="27">
        <f>IF(OR(B22="",H22=""),"",IF(I22&lt;0,"Prejuízo",IF(I22&lt;E22,"Abaixo da meta","OK")))</f>
        <v/>
      </c>
      <c r="K22" s="22" t="n"/>
      <c r="L22" s="26">
        <f>IF(OR(H22="",K22=""),"",H22/K22-1)</f>
        <v/>
      </c>
    </row>
    <row r="23">
      <c r="A23" s="21" t="n"/>
      <c r="B23" s="22" t="n"/>
      <c r="C23" s="22" t="n"/>
      <c r="D23" s="23">
        <f>IF(B23="","",B23+C23)</f>
        <v/>
      </c>
      <c r="E23" s="24">
        <f>IF(B23="","",Parâmetros!$B$25)</f>
        <v/>
      </c>
      <c r="F23" s="25">
        <f>IF(B23="","",1-(Parâmetros!$B$15+Parâmetros!$B$22+E23))</f>
        <v/>
      </c>
      <c r="G23" s="23">
        <f>IF(B23="","",IF(F23&lt;=0,"Revise %",ROUND(D23/F23,2)))</f>
        <v/>
      </c>
      <c r="H23" s="22" t="n"/>
      <c r="I23" s="26">
        <f>IF(OR(B23="",H23=""),"",(H23*(1-Parâmetros!$B$15-Parâmetros!$B$22)-D23)/H23)</f>
        <v/>
      </c>
      <c r="J23" s="27">
        <f>IF(OR(B23="",H23=""),"",IF(I23&lt;0,"Prejuízo",IF(I23&lt;E23,"Abaixo da meta","OK")))</f>
        <v/>
      </c>
      <c r="K23" s="22" t="n"/>
      <c r="L23" s="26">
        <f>IF(OR(H23="",K23=""),"",H23/K23-1)</f>
        <v/>
      </c>
    </row>
    <row r="24">
      <c r="A24" s="21" t="n"/>
      <c r="B24" s="22" t="n"/>
      <c r="C24" s="22" t="n"/>
      <c r="D24" s="23">
        <f>IF(B24="","",B24+C24)</f>
        <v/>
      </c>
      <c r="E24" s="24">
        <f>IF(B24="","",Parâmetros!$B$25)</f>
        <v/>
      </c>
      <c r="F24" s="25">
        <f>IF(B24="","",1-(Parâmetros!$B$15+Parâmetros!$B$22+E24))</f>
        <v/>
      </c>
      <c r="G24" s="23">
        <f>IF(B24="","",IF(F24&lt;=0,"Revise %",ROUND(D24/F24,2)))</f>
        <v/>
      </c>
      <c r="H24" s="22" t="n"/>
      <c r="I24" s="26">
        <f>IF(OR(B24="",H24=""),"",(H24*(1-Parâmetros!$B$15-Parâmetros!$B$22)-D24)/H24)</f>
        <v/>
      </c>
      <c r="J24" s="27">
        <f>IF(OR(B24="",H24=""),"",IF(I24&lt;0,"Prejuízo",IF(I24&lt;E24,"Abaixo da meta","OK")))</f>
        <v/>
      </c>
      <c r="K24" s="22" t="n"/>
      <c r="L24" s="26">
        <f>IF(OR(H24="",K24=""),"",H24/K24-1)</f>
        <v/>
      </c>
    </row>
    <row r="25">
      <c r="A25" s="21" t="n"/>
      <c r="B25" s="22" t="n"/>
      <c r="C25" s="22" t="n"/>
      <c r="D25" s="23">
        <f>IF(B25="","",B25+C25)</f>
        <v/>
      </c>
      <c r="E25" s="24">
        <f>IF(B25="","",Parâmetros!$B$25)</f>
        <v/>
      </c>
      <c r="F25" s="25">
        <f>IF(B25="","",1-(Parâmetros!$B$15+Parâmetros!$B$22+E25))</f>
        <v/>
      </c>
      <c r="G25" s="23">
        <f>IF(B25="","",IF(F25&lt;=0,"Revise %",ROUND(D25/F25,2)))</f>
        <v/>
      </c>
      <c r="H25" s="22" t="n"/>
      <c r="I25" s="26">
        <f>IF(OR(B25="",H25=""),"",(H25*(1-Parâmetros!$B$15-Parâmetros!$B$22)-D25)/H25)</f>
        <v/>
      </c>
      <c r="J25" s="27">
        <f>IF(OR(B25="",H25=""),"",IF(I25&lt;0,"Prejuízo",IF(I25&lt;E25,"Abaixo da meta","OK")))</f>
        <v/>
      </c>
      <c r="K25" s="22" t="n"/>
      <c r="L25" s="26">
        <f>IF(OR(H25="",K25=""),"",H25/K25-1)</f>
        <v/>
      </c>
    </row>
    <row r="26">
      <c r="A26" s="21" t="n"/>
      <c r="B26" s="22" t="n"/>
      <c r="C26" s="22" t="n"/>
      <c r="D26" s="23">
        <f>IF(B26="","",B26+C26)</f>
        <v/>
      </c>
      <c r="E26" s="24">
        <f>IF(B26="","",Parâmetros!$B$25)</f>
        <v/>
      </c>
      <c r="F26" s="25">
        <f>IF(B26="","",1-(Parâmetros!$B$15+Parâmetros!$B$22+E26))</f>
        <v/>
      </c>
      <c r="G26" s="23">
        <f>IF(B26="","",IF(F26&lt;=0,"Revise %",ROUND(D26/F26,2)))</f>
        <v/>
      </c>
      <c r="H26" s="22" t="n"/>
      <c r="I26" s="26">
        <f>IF(OR(B26="",H26=""),"",(H26*(1-Parâmetros!$B$15-Parâmetros!$B$22)-D26)/H26)</f>
        <v/>
      </c>
      <c r="J26" s="27">
        <f>IF(OR(B26="",H26=""),"",IF(I26&lt;0,"Prejuízo",IF(I26&lt;E26,"Abaixo da meta","OK")))</f>
        <v/>
      </c>
      <c r="K26" s="22" t="n"/>
      <c r="L26" s="26">
        <f>IF(OR(H26="",K26=""),"",H26/K26-1)</f>
        <v/>
      </c>
    </row>
    <row r="27">
      <c r="A27" s="21" t="n"/>
      <c r="B27" s="22" t="n"/>
      <c r="C27" s="22" t="n"/>
      <c r="D27" s="23">
        <f>IF(B27="","",B27+C27)</f>
        <v/>
      </c>
      <c r="E27" s="24">
        <f>IF(B27="","",Parâmetros!$B$25)</f>
        <v/>
      </c>
      <c r="F27" s="25">
        <f>IF(B27="","",1-(Parâmetros!$B$15+Parâmetros!$B$22+E27))</f>
        <v/>
      </c>
      <c r="G27" s="23">
        <f>IF(B27="","",IF(F27&lt;=0,"Revise %",ROUND(D27/F27,2)))</f>
        <v/>
      </c>
      <c r="H27" s="22" t="n"/>
      <c r="I27" s="26">
        <f>IF(OR(B27="",H27=""),"",(H27*(1-Parâmetros!$B$15-Parâmetros!$B$22)-D27)/H27)</f>
        <v/>
      </c>
      <c r="J27" s="27">
        <f>IF(OR(B27="",H27=""),"",IF(I27&lt;0,"Prejuízo",IF(I27&lt;E27,"Abaixo da meta","OK")))</f>
        <v/>
      </c>
      <c r="K27" s="22" t="n"/>
      <c r="L27" s="26">
        <f>IF(OR(H27="",K27=""),"",H27/K27-1)</f>
        <v/>
      </c>
    </row>
    <row r="28">
      <c r="A28" s="21" t="n"/>
      <c r="B28" s="22" t="n"/>
      <c r="C28" s="22" t="n"/>
      <c r="D28" s="23">
        <f>IF(B28="","",B28+C28)</f>
        <v/>
      </c>
      <c r="E28" s="24">
        <f>IF(B28="","",Parâmetros!$B$25)</f>
        <v/>
      </c>
      <c r="F28" s="25">
        <f>IF(B28="","",1-(Parâmetros!$B$15+Parâmetros!$B$22+E28))</f>
        <v/>
      </c>
      <c r="G28" s="23">
        <f>IF(B28="","",IF(F28&lt;=0,"Revise %",ROUND(D28/F28,2)))</f>
        <v/>
      </c>
      <c r="H28" s="22" t="n"/>
      <c r="I28" s="26">
        <f>IF(OR(B28="",H28=""),"",(H28*(1-Parâmetros!$B$15-Parâmetros!$B$22)-D28)/H28)</f>
        <v/>
      </c>
      <c r="J28" s="27">
        <f>IF(OR(B28="",H28=""),"",IF(I28&lt;0,"Prejuízo",IF(I28&lt;E28,"Abaixo da meta","OK")))</f>
        <v/>
      </c>
      <c r="K28" s="22" t="n"/>
      <c r="L28" s="26">
        <f>IF(OR(H28="",K28=""),"",H28/K28-1)</f>
        <v/>
      </c>
    </row>
    <row r="29">
      <c r="A29" s="21" t="n"/>
      <c r="B29" s="22" t="n"/>
      <c r="C29" s="22" t="n"/>
      <c r="D29" s="23">
        <f>IF(B29="","",B29+C29)</f>
        <v/>
      </c>
      <c r="E29" s="24">
        <f>IF(B29="","",Parâmetros!$B$25)</f>
        <v/>
      </c>
      <c r="F29" s="25">
        <f>IF(B29="","",1-(Parâmetros!$B$15+Parâmetros!$B$22+E29))</f>
        <v/>
      </c>
      <c r="G29" s="23">
        <f>IF(B29="","",IF(F29&lt;=0,"Revise %",ROUND(D29/F29,2)))</f>
        <v/>
      </c>
      <c r="H29" s="22" t="n"/>
      <c r="I29" s="26">
        <f>IF(OR(B29="",H29=""),"",(H29*(1-Parâmetros!$B$15-Parâmetros!$B$22)-D29)/H29)</f>
        <v/>
      </c>
      <c r="J29" s="27">
        <f>IF(OR(B29="",H29=""),"",IF(I29&lt;0,"Prejuízo",IF(I29&lt;E29,"Abaixo da meta","OK")))</f>
        <v/>
      </c>
      <c r="K29" s="22" t="n"/>
      <c r="L29" s="26">
        <f>IF(OR(H29="",K29=""),"",H29/K29-1)</f>
        <v/>
      </c>
    </row>
    <row r="30">
      <c r="A30" s="21" t="n"/>
      <c r="B30" s="22" t="n"/>
      <c r="C30" s="22" t="n"/>
      <c r="D30" s="23">
        <f>IF(B30="","",B30+C30)</f>
        <v/>
      </c>
      <c r="E30" s="24">
        <f>IF(B30="","",Parâmetros!$B$25)</f>
        <v/>
      </c>
      <c r="F30" s="25">
        <f>IF(B30="","",1-(Parâmetros!$B$15+Parâmetros!$B$22+E30))</f>
        <v/>
      </c>
      <c r="G30" s="23">
        <f>IF(B30="","",IF(F30&lt;=0,"Revise %",ROUND(D30/F30,2)))</f>
        <v/>
      </c>
      <c r="H30" s="22" t="n"/>
      <c r="I30" s="26">
        <f>IF(OR(B30="",H30=""),"",(H30*(1-Parâmetros!$B$15-Parâmetros!$B$22)-D30)/H30)</f>
        <v/>
      </c>
      <c r="J30" s="27">
        <f>IF(OR(B30="",H30=""),"",IF(I30&lt;0,"Prejuízo",IF(I30&lt;E30,"Abaixo da meta","OK")))</f>
        <v/>
      </c>
      <c r="K30" s="22" t="n"/>
      <c r="L30" s="26">
        <f>IF(OR(H30="",K30=""),"",H30/K30-1)</f>
        <v/>
      </c>
    </row>
    <row r="31">
      <c r="A31" s="21" t="n"/>
      <c r="B31" s="22" t="n"/>
      <c r="C31" s="22" t="n"/>
      <c r="D31" s="23">
        <f>IF(B31="","",B31+C31)</f>
        <v/>
      </c>
      <c r="E31" s="24">
        <f>IF(B31="","",Parâmetros!$B$25)</f>
        <v/>
      </c>
      <c r="F31" s="25">
        <f>IF(B31="","",1-(Parâmetros!$B$15+Parâmetros!$B$22+E31))</f>
        <v/>
      </c>
      <c r="G31" s="23">
        <f>IF(B31="","",IF(F31&lt;=0,"Revise %",ROUND(D31/F31,2)))</f>
        <v/>
      </c>
      <c r="H31" s="22" t="n"/>
      <c r="I31" s="26">
        <f>IF(OR(B31="",H31=""),"",(H31*(1-Parâmetros!$B$15-Parâmetros!$B$22)-D31)/H31)</f>
        <v/>
      </c>
      <c r="J31" s="27">
        <f>IF(OR(B31="",H31=""),"",IF(I31&lt;0,"Prejuízo",IF(I31&lt;E31,"Abaixo da meta","OK")))</f>
        <v/>
      </c>
      <c r="K31" s="22" t="n"/>
      <c r="L31" s="26">
        <f>IF(OR(H31="",K31=""),"",H31/K31-1)</f>
        <v/>
      </c>
    </row>
    <row r="32">
      <c r="A32" s="21" t="n"/>
      <c r="B32" s="22" t="n"/>
      <c r="C32" s="22" t="n"/>
      <c r="D32" s="23">
        <f>IF(B32="","",B32+C32)</f>
        <v/>
      </c>
      <c r="E32" s="24">
        <f>IF(B32="","",Parâmetros!$B$25)</f>
        <v/>
      </c>
      <c r="F32" s="25">
        <f>IF(B32="","",1-(Parâmetros!$B$15+Parâmetros!$B$22+E32))</f>
        <v/>
      </c>
      <c r="G32" s="23">
        <f>IF(B32="","",IF(F32&lt;=0,"Revise %",ROUND(D32/F32,2)))</f>
        <v/>
      </c>
      <c r="H32" s="22" t="n"/>
      <c r="I32" s="26">
        <f>IF(OR(B32="",H32=""),"",(H32*(1-Parâmetros!$B$15-Parâmetros!$B$22)-D32)/H32)</f>
        <v/>
      </c>
      <c r="J32" s="27">
        <f>IF(OR(B32="",H32=""),"",IF(I32&lt;0,"Prejuízo",IF(I32&lt;E32,"Abaixo da meta","OK")))</f>
        <v/>
      </c>
      <c r="K32" s="22" t="n"/>
      <c r="L32" s="26">
        <f>IF(OR(H32="",K32=""),"",H32/K32-1)</f>
        <v/>
      </c>
    </row>
    <row r="33">
      <c r="A33" s="21" t="n"/>
      <c r="B33" s="22" t="n"/>
      <c r="C33" s="22" t="n"/>
      <c r="D33" s="23">
        <f>IF(B33="","",B33+C33)</f>
        <v/>
      </c>
      <c r="E33" s="24">
        <f>IF(B33="","",Parâmetros!$B$25)</f>
        <v/>
      </c>
      <c r="F33" s="25">
        <f>IF(B33="","",1-(Parâmetros!$B$15+Parâmetros!$B$22+E33))</f>
        <v/>
      </c>
      <c r="G33" s="23">
        <f>IF(B33="","",IF(F33&lt;=0,"Revise %",ROUND(D33/F33,2)))</f>
        <v/>
      </c>
      <c r="H33" s="22" t="n"/>
      <c r="I33" s="26">
        <f>IF(OR(B33="",H33=""),"",(H33*(1-Parâmetros!$B$15-Parâmetros!$B$22)-D33)/H33)</f>
        <v/>
      </c>
      <c r="J33" s="27">
        <f>IF(OR(B33="",H33=""),"",IF(I33&lt;0,"Prejuízo",IF(I33&lt;E33,"Abaixo da meta","OK")))</f>
        <v/>
      </c>
      <c r="K33" s="22" t="n"/>
      <c r="L33" s="26">
        <f>IF(OR(H33="",K33=""),"",H33/K33-1)</f>
        <v/>
      </c>
    </row>
    <row r="34">
      <c r="A34" s="21" t="n"/>
      <c r="B34" s="22" t="n"/>
      <c r="C34" s="22" t="n"/>
      <c r="D34" s="23">
        <f>IF(B34="","",B34+C34)</f>
        <v/>
      </c>
      <c r="E34" s="24">
        <f>IF(B34="","",Parâmetros!$B$25)</f>
        <v/>
      </c>
      <c r="F34" s="25">
        <f>IF(B34="","",1-(Parâmetros!$B$15+Parâmetros!$B$22+E34))</f>
        <v/>
      </c>
      <c r="G34" s="23">
        <f>IF(B34="","",IF(F34&lt;=0,"Revise %",ROUND(D34/F34,2)))</f>
        <v/>
      </c>
      <c r="H34" s="22" t="n"/>
      <c r="I34" s="26">
        <f>IF(OR(B34="",H34=""),"",(H34*(1-Parâmetros!$B$15-Parâmetros!$B$22)-D34)/H34)</f>
        <v/>
      </c>
      <c r="J34" s="27">
        <f>IF(OR(B34="",H34=""),"",IF(I34&lt;0,"Prejuízo",IF(I34&lt;E34,"Abaixo da meta","OK")))</f>
        <v/>
      </c>
      <c r="K34" s="22" t="n"/>
      <c r="L34" s="26">
        <f>IF(OR(H34="",K34=""),"",H34/K34-1)</f>
        <v/>
      </c>
    </row>
    <row r="35">
      <c r="A35" s="21" t="n"/>
      <c r="B35" s="22" t="n"/>
      <c r="C35" s="22" t="n"/>
      <c r="D35" s="23">
        <f>IF(B35="","",B35+C35)</f>
        <v/>
      </c>
      <c r="E35" s="24">
        <f>IF(B35="","",Parâmetros!$B$25)</f>
        <v/>
      </c>
      <c r="F35" s="25">
        <f>IF(B35="","",1-(Parâmetros!$B$15+Parâmetros!$B$22+E35))</f>
        <v/>
      </c>
      <c r="G35" s="23">
        <f>IF(B35="","",IF(F35&lt;=0,"Revise %",ROUND(D35/F35,2)))</f>
        <v/>
      </c>
      <c r="H35" s="22" t="n"/>
      <c r="I35" s="26">
        <f>IF(OR(B35="",H35=""),"",(H35*(1-Parâmetros!$B$15-Parâmetros!$B$22)-D35)/H35)</f>
        <v/>
      </c>
      <c r="J35" s="27">
        <f>IF(OR(B35="",H35=""),"",IF(I35&lt;0,"Prejuízo",IF(I35&lt;E35,"Abaixo da meta","OK")))</f>
        <v/>
      </c>
      <c r="K35" s="22" t="n"/>
      <c r="L35" s="26">
        <f>IF(OR(H35="",K35=""),"",H35/K35-1)</f>
        <v/>
      </c>
    </row>
    <row r="36">
      <c r="A36" s="21" t="n"/>
      <c r="B36" s="22" t="n"/>
      <c r="C36" s="22" t="n"/>
      <c r="D36" s="23">
        <f>IF(B36="","",B36+C36)</f>
        <v/>
      </c>
      <c r="E36" s="24">
        <f>IF(B36="","",Parâmetros!$B$25)</f>
        <v/>
      </c>
      <c r="F36" s="25">
        <f>IF(B36="","",1-(Parâmetros!$B$15+Parâmetros!$B$22+E36))</f>
        <v/>
      </c>
      <c r="G36" s="23">
        <f>IF(B36="","",IF(F36&lt;=0,"Revise %",ROUND(D36/F36,2)))</f>
        <v/>
      </c>
      <c r="H36" s="22" t="n"/>
      <c r="I36" s="26">
        <f>IF(OR(B36="",H36=""),"",(H36*(1-Parâmetros!$B$15-Parâmetros!$B$22)-D36)/H36)</f>
        <v/>
      </c>
      <c r="J36" s="27">
        <f>IF(OR(B36="",H36=""),"",IF(I36&lt;0,"Prejuízo",IF(I36&lt;E36,"Abaixo da meta","OK")))</f>
        <v/>
      </c>
      <c r="K36" s="22" t="n"/>
      <c r="L36" s="26">
        <f>IF(OR(H36="",K36=""),"",H36/K36-1)</f>
        <v/>
      </c>
    </row>
    <row r="37">
      <c r="A37" s="21" t="n"/>
      <c r="B37" s="22" t="n"/>
      <c r="C37" s="22" t="n"/>
      <c r="D37" s="23">
        <f>IF(B37="","",B37+C37)</f>
        <v/>
      </c>
      <c r="E37" s="24">
        <f>IF(B37="","",Parâmetros!$B$25)</f>
        <v/>
      </c>
      <c r="F37" s="25">
        <f>IF(B37="","",1-(Parâmetros!$B$15+Parâmetros!$B$22+E37))</f>
        <v/>
      </c>
      <c r="G37" s="23">
        <f>IF(B37="","",IF(F37&lt;=0,"Revise %",ROUND(D37/F37,2)))</f>
        <v/>
      </c>
      <c r="H37" s="22" t="n"/>
      <c r="I37" s="26">
        <f>IF(OR(B37="",H37=""),"",(H37*(1-Parâmetros!$B$15-Parâmetros!$B$22)-D37)/H37)</f>
        <v/>
      </c>
      <c r="J37" s="27">
        <f>IF(OR(B37="",H37=""),"",IF(I37&lt;0,"Prejuízo",IF(I37&lt;E37,"Abaixo da meta","OK")))</f>
        <v/>
      </c>
      <c r="K37" s="22" t="n"/>
      <c r="L37" s="26">
        <f>IF(OR(H37="",K37=""),"",H37/K37-1)</f>
        <v/>
      </c>
    </row>
    <row r="38">
      <c r="A38" s="21" t="n"/>
      <c r="B38" s="22" t="n"/>
      <c r="C38" s="22" t="n"/>
      <c r="D38" s="23">
        <f>IF(B38="","",B38+C38)</f>
        <v/>
      </c>
      <c r="E38" s="24">
        <f>IF(B38="","",Parâmetros!$B$25)</f>
        <v/>
      </c>
      <c r="F38" s="25">
        <f>IF(B38="","",1-(Parâmetros!$B$15+Parâmetros!$B$22+E38))</f>
        <v/>
      </c>
      <c r="G38" s="23">
        <f>IF(B38="","",IF(F38&lt;=0,"Revise %",ROUND(D38/F38,2)))</f>
        <v/>
      </c>
      <c r="H38" s="22" t="n"/>
      <c r="I38" s="26">
        <f>IF(OR(B38="",H38=""),"",(H38*(1-Parâmetros!$B$15-Parâmetros!$B$22)-D38)/H38)</f>
        <v/>
      </c>
      <c r="J38" s="27">
        <f>IF(OR(B38="",H38=""),"",IF(I38&lt;0,"Prejuízo",IF(I38&lt;E38,"Abaixo da meta","OK")))</f>
        <v/>
      </c>
      <c r="K38" s="22" t="n"/>
      <c r="L38" s="26">
        <f>IF(OR(H38="",K38=""),"",H38/K38-1)</f>
        <v/>
      </c>
    </row>
    <row r="39">
      <c r="A39" s="21" t="n"/>
      <c r="B39" s="22" t="n"/>
      <c r="C39" s="22" t="n"/>
      <c r="D39" s="23">
        <f>IF(B39="","",B39+C39)</f>
        <v/>
      </c>
      <c r="E39" s="24">
        <f>IF(B39="","",Parâmetros!$B$25)</f>
        <v/>
      </c>
      <c r="F39" s="25">
        <f>IF(B39="","",1-(Parâmetros!$B$15+Parâmetros!$B$22+E39))</f>
        <v/>
      </c>
      <c r="G39" s="23">
        <f>IF(B39="","",IF(F39&lt;=0,"Revise %",ROUND(D39/F39,2)))</f>
        <v/>
      </c>
      <c r="H39" s="22" t="n"/>
      <c r="I39" s="26">
        <f>IF(OR(B39="",H39=""),"",(H39*(1-Parâmetros!$B$15-Parâmetros!$B$22)-D39)/H39)</f>
        <v/>
      </c>
      <c r="J39" s="27">
        <f>IF(OR(B39="",H39=""),"",IF(I39&lt;0,"Prejuízo",IF(I39&lt;E39,"Abaixo da meta","OK")))</f>
        <v/>
      </c>
      <c r="K39" s="22" t="n"/>
      <c r="L39" s="26">
        <f>IF(OR(H39="",K39=""),"",H39/K39-1)</f>
        <v/>
      </c>
    </row>
    <row r="40">
      <c r="A40" s="21" t="n"/>
      <c r="B40" s="22" t="n"/>
      <c r="C40" s="22" t="n"/>
      <c r="D40" s="23">
        <f>IF(B40="","",B40+C40)</f>
        <v/>
      </c>
      <c r="E40" s="24">
        <f>IF(B40="","",Parâmetros!$B$25)</f>
        <v/>
      </c>
      <c r="F40" s="25">
        <f>IF(B40="","",1-(Parâmetros!$B$15+Parâmetros!$B$22+E40))</f>
        <v/>
      </c>
      <c r="G40" s="23">
        <f>IF(B40="","",IF(F40&lt;=0,"Revise %",ROUND(D40/F40,2)))</f>
        <v/>
      </c>
      <c r="H40" s="22" t="n"/>
      <c r="I40" s="26">
        <f>IF(OR(B40="",H40=""),"",(H40*(1-Parâmetros!$B$15-Parâmetros!$B$22)-D40)/H40)</f>
        <v/>
      </c>
      <c r="J40" s="27">
        <f>IF(OR(B40="",H40=""),"",IF(I40&lt;0,"Prejuízo",IF(I40&lt;E40,"Abaixo da meta","OK")))</f>
        <v/>
      </c>
      <c r="K40" s="22" t="n"/>
      <c r="L40" s="26">
        <f>IF(OR(H40="",K40=""),"",H40/K40-1)</f>
        <v/>
      </c>
    </row>
    <row r="41">
      <c r="A41" s="21" t="n"/>
      <c r="B41" s="22" t="n"/>
      <c r="C41" s="22" t="n"/>
      <c r="D41" s="23">
        <f>IF(B41="","",B41+C41)</f>
        <v/>
      </c>
      <c r="E41" s="24">
        <f>IF(B41="","",Parâmetros!$B$25)</f>
        <v/>
      </c>
      <c r="F41" s="25">
        <f>IF(B41="","",1-(Parâmetros!$B$15+Parâmetros!$B$22+E41))</f>
        <v/>
      </c>
      <c r="G41" s="23">
        <f>IF(B41="","",IF(F41&lt;=0,"Revise %",ROUND(D41/F41,2)))</f>
        <v/>
      </c>
      <c r="H41" s="22" t="n"/>
      <c r="I41" s="26">
        <f>IF(OR(B41="",H41=""),"",(H41*(1-Parâmetros!$B$15-Parâmetros!$B$22)-D41)/H41)</f>
        <v/>
      </c>
      <c r="J41" s="27">
        <f>IF(OR(B41="",H41=""),"",IF(I41&lt;0,"Prejuízo",IF(I41&lt;E41,"Abaixo da meta","OK")))</f>
        <v/>
      </c>
      <c r="K41" s="22" t="n"/>
      <c r="L41" s="26">
        <f>IF(OR(H41="",K41=""),"",H41/K41-1)</f>
        <v/>
      </c>
    </row>
    <row r="42">
      <c r="A42" s="21" t="n"/>
      <c r="B42" s="22" t="n"/>
      <c r="C42" s="22" t="n"/>
      <c r="D42" s="23">
        <f>IF(B42="","",B42+C42)</f>
        <v/>
      </c>
      <c r="E42" s="24">
        <f>IF(B42="","",Parâmetros!$B$25)</f>
        <v/>
      </c>
      <c r="F42" s="25">
        <f>IF(B42="","",1-(Parâmetros!$B$15+Parâmetros!$B$22+E42))</f>
        <v/>
      </c>
      <c r="G42" s="23">
        <f>IF(B42="","",IF(F42&lt;=0,"Revise %",ROUND(D42/F42,2)))</f>
        <v/>
      </c>
      <c r="H42" s="22" t="n"/>
      <c r="I42" s="26">
        <f>IF(OR(B42="",H42=""),"",(H42*(1-Parâmetros!$B$15-Parâmetros!$B$22)-D42)/H42)</f>
        <v/>
      </c>
      <c r="J42" s="27">
        <f>IF(OR(B42="",H42=""),"",IF(I42&lt;0,"Prejuízo",IF(I42&lt;E42,"Abaixo da meta","OK")))</f>
        <v/>
      </c>
      <c r="K42" s="22" t="n"/>
      <c r="L42" s="26">
        <f>IF(OR(H42="",K42=""),"",H42/K42-1)</f>
        <v/>
      </c>
    </row>
    <row r="43">
      <c r="A43" s="21" t="n"/>
      <c r="B43" s="22" t="n"/>
      <c r="C43" s="22" t="n"/>
      <c r="D43" s="23">
        <f>IF(B43="","",B43+C43)</f>
        <v/>
      </c>
      <c r="E43" s="24">
        <f>IF(B43="","",Parâmetros!$B$25)</f>
        <v/>
      </c>
      <c r="F43" s="25">
        <f>IF(B43="","",1-(Parâmetros!$B$15+Parâmetros!$B$22+E43))</f>
        <v/>
      </c>
      <c r="G43" s="23">
        <f>IF(B43="","",IF(F43&lt;=0,"Revise %",ROUND(D43/F43,2)))</f>
        <v/>
      </c>
      <c r="H43" s="22" t="n"/>
      <c r="I43" s="26">
        <f>IF(OR(B43="",H43=""),"",(H43*(1-Parâmetros!$B$15-Parâmetros!$B$22)-D43)/H43)</f>
        <v/>
      </c>
      <c r="J43" s="27">
        <f>IF(OR(B43="",H43=""),"",IF(I43&lt;0,"Prejuízo",IF(I43&lt;E43,"Abaixo da meta","OK")))</f>
        <v/>
      </c>
      <c r="K43" s="22" t="n"/>
      <c r="L43" s="26">
        <f>IF(OR(H43="",K43=""),"",H43/K43-1)</f>
        <v/>
      </c>
    </row>
    <row r="44">
      <c r="A44" s="21" t="n"/>
      <c r="B44" s="22" t="n"/>
      <c r="C44" s="22" t="n"/>
      <c r="D44" s="23">
        <f>IF(B44="","",B44+C44)</f>
        <v/>
      </c>
      <c r="E44" s="24">
        <f>IF(B44="","",Parâmetros!$B$25)</f>
        <v/>
      </c>
      <c r="F44" s="25">
        <f>IF(B44="","",1-(Parâmetros!$B$15+Parâmetros!$B$22+E44))</f>
        <v/>
      </c>
      <c r="G44" s="23">
        <f>IF(B44="","",IF(F44&lt;=0,"Revise %",ROUND(D44/F44,2)))</f>
        <v/>
      </c>
      <c r="H44" s="22" t="n"/>
      <c r="I44" s="26">
        <f>IF(OR(B44="",H44=""),"",(H44*(1-Parâmetros!$B$15-Parâmetros!$B$22)-D44)/H44)</f>
        <v/>
      </c>
      <c r="J44" s="27">
        <f>IF(OR(B44="",H44=""),"",IF(I44&lt;0,"Prejuízo",IF(I44&lt;E44,"Abaixo da meta","OK")))</f>
        <v/>
      </c>
      <c r="K44" s="22" t="n"/>
      <c r="L44" s="26">
        <f>IF(OR(H44="",K44=""),"",H44/K44-1)</f>
        <v/>
      </c>
    </row>
    <row r="46">
      <c r="A46" s="28" t="inlineStr">
        <is>
          <t>Resumo</t>
        </is>
      </c>
    </row>
    <row r="47">
      <c r="A47" s="13" t="inlineStr">
        <is>
          <t>Produtos cadastrados</t>
        </is>
      </c>
      <c r="B47" s="29">
        <f>COUNTA(A5:A44)</f>
        <v/>
      </c>
    </row>
    <row r="48">
      <c r="A48" s="13" t="inlineStr">
        <is>
          <t>Com margem OK</t>
        </is>
      </c>
      <c r="B48" s="29">
        <f>COUNTIF(J5:J44,"OK")</f>
        <v/>
      </c>
    </row>
    <row r="49">
      <c r="A49" s="13" t="inlineStr">
        <is>
          <t>Abaixo da meta</t>
        </is>
      </c>
      <c r="B49" s="29">
        <f>COUNTIF(J5:J44,"Abaixo da meta")</f>
        <v/>
      </c>
    </row>
    <row r="50">
      <c r="A50" s="13" t="inlineStr">
        <is>
          <t>Com prejuízo</t>
        </is>
      </c>
      <c r="B50" s="29">
        <f>COUNTIF(J5:J44,"Prejuízo")</f>
        <v/>
      </c>
    </row>
    <row r="51">
      <c r="A51" s="13" t="inlineStr">
        <is>
          <t>Margem real média</t>
        </is>
      </c>
      <c r="B51" s="16">
        <f>IFERROR(AVERAGE(I5:I44),0)</f>
        <v/>
      </c>
    </row>
  </sheetData>
  <mergeCells count="2">
    <mergeCell ref="A2:L2"/>
    <mergeCell ref="A1:L1"/>
  </mergeCells>
  <conditionalFormatting sqref="J5:J44">
    <cfRule type="cellIs" priority="1" operator="equal" dxfId="1">
      <formula>"OK"</formula>
    </cfRule>
    <cfRule type="cellIs" priority="2" operator="equal" dxfId="2">
      <formula>"Abaixo da meta"</formula>
    </cfRule>
    <cfRule type="cellIs" priority="3" operator="equal" dxfId="0">
      <formula>"Prejuízo"</formula>
    </cfRule>
  </conditionalFormatting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Jonatas Magalhães</dc:creator>
  <dcterms:created xmlns:dcterms="http://purl.org/dc/terms/" xmlns:xsi="http://www.w3.org/2001/XMLSchema-instance" xsi:type="dcterms:W3CDTF">2026-10-27T21:37:23Z</dcterms:created>
  <dcterms:modified xmlns:dcterms="http://purl.org/dc/terms/" xmlns:xsi="http://www.w3.org/2001/XMLSchema-instance" xsi:type="dcterms:W3CDTF">2026-10-27T21:37:23Z</dcterms:modified>
</cp:coreProperties>
</file>